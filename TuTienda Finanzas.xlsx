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5826682e5275a90/Desktop/Proyecto/"/>
    </mc:Choice>
  </mc:AlternateContent>
  <xr:revisionPtr revIDLastSave="121" documentId="8_{9D2DEA2B-3265-4D5D-8E4B-17DC54B77A76}" xr6:coauthVersionLast="47" xr6:coauthVersionMax="47" xr10:uidLastSave="{2C61D144-FEC7-453C-9222-EDC60661D8A3}"/>
  <bookViews>
    <workbookView xWindow="-96" yWindow="0" windowWidth="11712" windowHeight="12336" activeTab="7" xr2:uid="{00000000-000D-0000-FFFF-FFFF00000000}"/>
  </bookViews>
  <sheets>
    <sheet name="Guia" sheetId="2" r:id="rId1"/>
    <sheet name="Dashboard" sheetId="1" r:id="rId2"/>
    <sheet name="Ventas" sheetId="3" r:id="rId3"/>
    <sheet name="Compras" sheetId="4" r:id="rId4"/>
    <sheet name="Gastos" sheetId="5" r:id="rId5"/>
    <sheet name="Ingresos" sheetId="6" r:id="rId6"/>
    <sheet name="Productos" sheetId="7" r:id="rId7"/>
    <sheet name="Clientes" sheetId="8" r:id="rId8"/>
    <sheet name="Resumen" sheetId="9" r:id="rId9"/>
    <sheet name="Listas" sheetId="10" r:id="rId10"/>
    <sheet name="Ventas_old" sheetId="11" state="hidden" r:id="rId11"/>
    <sheet name="Categorias" sheetId="12" state="hidden" r:id="rId12"/>
  </sheets>
  <definedNames>
    <definedName name="_xlnm._FilterDatabase" localSheetId="10" hidden="1">Ventas_old!$A$1:$I$5</definedName>
    <definedName name="lstCategorias">OFFSET(Listas!$A$2,0,0,COUNTA(Listas!$A:$A)-1,1)</definedName>
    <definedName name="lstCategoriasGasto">OFFSET(Listas!$G$2,0,0,COUNTA(Listas!$G:$G)-1,1)</definedName>
    <definedName name="lstCategoriasIngreso">OFFSET(Listas!$I$2,0,0,COUNTA(Listas!$I:$I)-1,1)</definedName>
    <definedName name="lstClientes">OFFSET(Clientes!$A$2,0,0,COUNTA(Clientes!$A:$A)-1,1)</definedName>
    <definedName name="lstClientesNombres">OFFSET(Clientes!$B$2,0,0,COUNTA(Clientes!$B:$B)-1,1)</definedName>
    <definedName name="lstCuentas">OFFSET(Listas!$E$2,0,0,COUNTA(Listas!$E:$E)-1,1)</definedName>
    <definedName name="lstEstado">OFFSET(Listas!$K$2,0,0,COUNTA(Listas!$K:$K)-1,1)</definedName>
    <definedName name="lstMetodosPago">OFFSET(Listas!$C$2,0,0,COUNTA(Listas!$C:$C)-1,1)</definedName>
    <definedName name="lstProductos">OFFSET(Productos!$A$2,0,0,COUNTA(Productos!$A:$A)-1,1)</definedName>
    <definedName name="lstProveedores">OFFSET(Listas!$M$2,0,0,COUNTA(Listas!$M:$M)-1,1)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I4" i="11"/>
  <c r="I3" i="11"/>
  <c r="I2" i="11"/>
  <c r="B2" i="11"/>
  <c r="A18" i="9"/>
  <c r="B18" i="9" s="1"/>
  <c r="A17" i="9"/>
  <c r="C17" i="9" s="1"/>
  <c r="A16" i="9"/>
  <c r="E16" i="9" s="1"/>
  <c r="A15" i="9"/>
  <c r="E15" i="9" s="1"/>
  <c r="A14" i="9"/>
  <c r="A13" i="9"/>
  <c r="B13" i="9" s="1"/>
  <c r="A12" i="9"/>
  <c r="F12" i="9" s="1"/>
  <c r="A11" i="9"/>
  <c r="C11" i="9" s="1"/>
  <c r="A10" i="9"/>
  <c r="C10" i="9" s="1"/>
  <c r="A9" i="9"/>
  <c r="F9" i="9" s="1"/>
  <c r="A8" i="9"/>
  <c r="F8" i="9" s="1"/>
  <c r="A7" i="9"/>
  <c r="E7" i="9" s="1"/>
  <c r="E4" i="9"/>
  <c r="B6" i="1" s="1"/>
  <c r="C4" i="9"/>
  <c r="B5" i="1" s="1"/>
  <c r="A4" i="9"/>
  <c r="B4" i="1" s="1"/>
  <c r="K90" i="7"/>
  <c r="I90" i="7"/>
  <c r="J90" i="7" s="1"/>
  <c r="K89" i="7"/>
  <c r="I89" i="7"/>
  <c r="J89" i="7" s="1"/>
  <c r="K88" i="7"/>
  <c r="I88" i="7"/>
  <c r="J88" i="7" s="1"/>
  <c r="K87" i="7"/>
  <c r="J87" i="7"/>
  <c r="I87" i="7"/>
  <c r="K86" i="7"/>
  <c r="J86" i="7"/>
  <c r="I86" i="7"/>
  <c r="K85" i="7"/>
  <c r="I85" i="7"/>
  <c r="J85" i="7" s="1"/>
  <c r="K84" i="7"/>
  <c r="I84" i="7"/>
  <c r="J84" i="7" s="1"/>
  <c r="K83" i="7"/>
  <c r="I83" i="7"/>
  <c r="J83" i="7" s="1"/>
  <c r="K82" i="7"/>
  <c r="J82" i="7"/>
  <c r="I82" i="7"/>
  <c r="K81" i="7"/>
  <c r="I81" i="7"/>
  <c r="J81" i="7" s="1"/>
  <c r="K80" i="7"/>
  <c r="I80" i="7"/>
  <c r="J80" i="7" s="1"/>
  <c r="K79" i="7"/>
  <c r="I79" i="7"/>
  <c r="J79" i="7" s="1"/>
  <c r="K78" i="7"/>
  <c r="I78" i="7"/>
  <c r="J78" i="7" s="1"/>
  <c r="K77" i="7"/>
  <c r="I77" i="7"/>
  <c r="J77" i="7" s="1"/>
  <c r="K76" i="7"/>
  <c r="I76" i="7"/>
  <c r="J76" i="7" s="1"/>
  <c r="K75" i="7"/>
  <c r="I75" i="7"/>
  <c r="J75" i="7" s="1"/>
  <c r="K74" i="7"/>
  <c r="I74" i="7"/>
  <c r="J74" i="7" s="1"/>
  <c r="K73" i="7"/>
  <c r="I73" i="7"/>
  <c r="J73" i="7" s="1"/>
  <c r="K72" i="7"/>
  <c r="I72" i="7"/>
  <c r="J72" i="7" s="1"/>
  <c r="K71" i="7"/>
  <c r="I71" i="7"/>
  <c r="J71" i="7" s="1"/>
  <c r="K70" i="7"/>
  <c r="I70" i="7"/>
  <c r="J70" i="7" s="1"/>
  <c r="K69" i="7"/>
  <c r="I69" i="7"/>
  <c r="J69" i="7" s="1"/>
  <c r="K68" i="7"/>
  <c r="I68" i="7"/>
  <c r="J68" i="7" s="1"/>
  <c r="K67" i="7"/>
  <c r="I67" i="7"/>
  <c r="J67" i="7" s="1"/>
  <c r="K66" i="7"/>
  <c r="I66" i="7"/>
  <c r="J66" i="7" s="1"/>
  <c r="K65" i="7"/>
  <c r="I65" i="7"/>
  <c r="J65" i="7" s="1"/>
  <c r="K64" i="7"/>
  <c r="I64" i="7"/>
  <c r="J64" i="7" s="1"/>
  <c r="K63" i="7"/>
  <c r="I63" i="7"/>
  <c r="J63" i="7" s="1"/>
  <c r="K62" i="7"/>
  <c r="I62" i="7"/>
  <c r="J62" i="7" s="1"/>
  <c r="K61" i="7"/>
  <c r="I61" i="7"/>
  <c r="J61" i="7" s="1"/>
  <c r="K60" i="7"/>
  <c r="I60" i="7"/>
  <c r="J60" i="7" s="1"/>
  <c r="K59" i="7"/>
  <c r="I59" i="7"/>
  <c r="J59" i="7" s="1"/>
  <c r="K58" i="7"/>
  <c r="I58" i="7"/>
  <c r="J58" i="7" s="1"/>
  <c r="K57" i="7"/>
  <c r="I57" i="7"/>
  <c r="J57" i="7" s="1"/>
  <c r="K56" i="7"/>
  <c r="I56" i="7"/>
  <c r="J56" i="7" s="1"/>
  <c r="K55" i="7"/>
  <c r="I55" i="7"/>
  <c r="J55" i="7" s="1"/>
  <c r="K54" i="7"/>
  <c r="I54" i="7"/>
  <c r="J54" i="7" s="1"/>
  <c r="K53" i="7"/>
  <c r="I53" i="7"/>
  <c r="J53" i="7" s="1"/>
  <c r="K52" i="7"/>
  <c r="I52" i="7"/>
  <c r="J52" i="7" s="1"/>
  <c r="K51" i="7"/>
  <c r="I51" i="7"/>
  <c r="J51" i="7" s="1"/>
  <c r="K50" i="7"/>
  <c r="I50" i="7"/>
  <c r="J50" i="7" s="1"/>
  <c r="K49" i="7"/>
  <c r="I49" i="7"/>
  <c r="J49" i="7" s="1"/>
  <c r="K48" i="7"/>
  <c r="I48" i="7"/>
  <c r="J48" i="7" s="1"/>
  <c r="K47" i="7"/>
  <c r="I47" i="7"/>
  <c r="J47" i="7" s="1"/>
  <c r="K46" i="7"/>
  <c r="I46" i="7"/>
  <c r="J46" i="7" s="1"/>
  <c r="K45" i="7"/>
  <c r="I45" i="7"/>
  <c r="J45" i="7" s="1"/>
  <c r="K44" i="7"/>
  <c r="I44" i="7"/>
  <c r="J44" i="7" s="1"/>
  <c r="K43" i="7"/>
  <c r="I43" i="7"/>
  <c r="J43" i="7" s="1"/>
  <c r="K42" i="7"/>
  <c r="I42" i="7"/>
  <c r="J42" i="7" s="1"/>
  <c r="K41" i="7"/>
  <c r="I41" i="7"/>
  <c r="J41" i="7" s="1"/>
  <c r="K40" i="7"/>
  <c r="I40" i="7"/>
  <c r="J40" i="7" s="1"/>
  <c r="K39" i="7"/>
  <c r="J39" i="7"/>
  <c r="I39" i="7"/>
  <c r="K38" i="7"/>
  <c r="I38" i="7"/>
  <c r="J38" i="7" s="1"/>
  <c r="K37" i="7"/>
  <c r="I37" i="7"/>
  <c r="J37" i="7" s="1"/>
  <c r="K36" i="7"/>
  <c r="I36" i="7"/>
  <c r="J36" i="7" s="1"/>
  <c r="K35" i="7"/>
  <c r="I35" i="7"/>
  <c r="J35" i="7" s="1"/>
  <c r="K34" i="7"/>
  <c r="I34" i="7"/>
  <c r="J34" i="7" s="1"/>
  <c r="K33" i="7"/>
  <c r="I33" i="7"/>
  <c r="J33" i="7" s="1"/>
  <c r="K32" i="7"/>
  <c r="I32" i="7"/>
  <c r="J32" i="7" s="1"/>
  <c r="K31" i="7"/>
  <c r="I31" i="7"/>
  <c r="J31" i="7" s="1"/>
  <c r="K30" i="7"/>
  <c r="I30" i="7"/>
  <c r="J30" i="7" s="1"/>
  <c r="K29" i="7"/>
  <c r="I29" i="7"/>
  <c r="J29" i="7" s="1"/>
  <c r="K28" i="7"/>
  <c r="I28" i="7"/>
  <c r="J28" i="7" s="1"/>
  <c r="K27" i="7"/>
  <c r="I27" i="7"/>
  <c r="J27" i="7" s="1"/>
  <c r="K26" i="7"/>
  <c r="I26" i="7"/>
  <c r="J26" i="7" s="1"/>
  <c r="K25" i="7"/>
  <c r="I25" i="7"/>
  <c r="J25" i="7" s="1"/>
  <c r="K24" i="7"/>
  <c r="I24" i="7"/>
  <c r="J24" i="7" s="1"/>
  <c r="K23" i="7"/>
  <c r="I23" i="7"/>
  <c r="J23" i="7" s="1"/>
  <c r="K22" i="7"/>
  <c r="I22" i="7"/>
  <c r="J22" i="7" s="1"/>
  <c r="K21" i="7"/>
  <c r="I21" i="7"/>
  <c r="J21" i="7" s="1"/>
  <c r="K20" i="7"/>
  <c r="I20" i="7"/>
  <c r="J20" i="7" s="1"/>
  <c r="K19" i="7"/>
  <c r="I19" i="7"/>
  <c r="J19" i="7" s="1"/>
  <c r="K18" i="7"/>
  <c r="I18" i="7"/>
  <c r="J18" i="7" s="1"/>
  <c r="K17" i="7"/>
  <c r="I17" i="7"/>
  <c r="J17" i="7" s="1"/>
  <c r="K16" i="7"/>
  <c r="I16" i="7"/>
  <c r="J16" i="7" s="1"/>
  <c r="K15" i="7"/>
  <c r="J15" i="7"/>
  <c r="I15" i="7"/>
  <c r="K14" i="7"/>
  <c r="I14" i="7"/>
  <c r="E14" i="7"/>
  <c r="K13" i="7"/>
  <c r="I13" i="7"/>
  <c r="E13" i="7"/>
  <c r="J13" i="7" s="1"/>
  <c r="K12" i="7"/>
  <c r="I12" i="7"/>
  <c r="E12" i="7"/>
  <c r="K11" i="7"/>
  <c r="I11" i="7"/>
  <c r="E11" i="7"/>
  <c r="K10" i="7"/>
  <c r="I10" i="7"/>
  <c r="E10" i="7"/>
  <c r="J10" i="7" s="1"/>
  <c r="K9" i="7"/>
  <c r="I9" i="7"/>
  <c r="J9" i="7" s="1"/>
  <c r="E9" i="7"/>
  <c r="K8" i="7"/>
  <c r="I8" i="7"/>
  <c r="E8" i="7"/>
  <c r="K7" i="7"/>
  <c r="I7" i="7"/>
  <c r="E7" i="7"/>
  <c r="K6" i="7"/>
  <c r="I6" i="7"/>
  <c r="E6" i="7"/>
  <c r="K5" i="7"/>
  <c r="I5" i="7"/>
  <c r="E5" i="7"/>
  <c r="K4" i="7"/>
  <c r="I4" i="7"/>
  <c r="E4" i="7"/>
  <c r="K3" i="7"/>
  <c r="I3" i="7"/>
  <c r="E3" i="7"/>
  <c r="K2" i="7"/>
  <c r="I2" i="7"/>
  <c r="E2" i="7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H401" i="4"/>
  <c r="G401" i="4"/>
  <c r="E401" i="4"/>
  <c r="B401" i="4"/>
  <c r="H400" i="4"/>
  <c r="G400" i="4"/>
  <c r="E400" i="4"/>
  <c r="B400" i="4"/>
  <c r="H399" i="4"/>
  <c r="G399" i="4"/>
  <c r="E399" i="4"/>
  <c r="B399" i="4"/>
  <c r="H398" i="4"/>
  <c r="G398" i="4"/>
  <c r="E398" i="4"/>
  <c r="B398" i="4"/>
  <c r="H397" i="4"/>
  <c r="G397" i="4"/>
  <c r="E397" i="4"/>
  <c r="B397" i="4"/>
  <c r="H396" i="4"/>
  <c r="G396" i="4"/>
  <c r="E396" i="4"/>
  <c r="B396" i="4"/>
  <c r="H395" i="4"/>
  <c r="G395" i="4"/>
  <c r="E395" i="4"/>
  <c r="B395" i="4"/>
  <c r="H394" i="4"/>
  <c r="G394" i="4"/>
  <c r="E394" i="4"/>
  <c r="B394" i="4"/>
  <c r="H393" i="4"/>
  <c r="G393" i="4"/>
  <c r="E393" i="4"/>
  <c r="B393" i="4"/>
  <c r="H392" i="4"/>
  <c r="G392" i="4"/>
  <c r="E392" i="4"/>
  <c r="B392" i="4"/>
  <c r="H391" i="4"/>
  <c r="G391" i="4"/>
  <c r="E391" i="4"/>
  <c r="B391" i="4"/>
  <c r="H390" i="4"/>
  <c r="G390" i="4"/>
  <c r="E390" i="4"/>
  <c r="B390" i="4"/>
  <c r="H389" i="4"/>
  <c r="G389" i="4"/>
  <c r="E389" i="4"/>
  <c r="B389" i="4"/>
  <c r="H388" i="4"/>
  <c r="G388" i="4"/>
  <c r="E388" i="4"/>
  <c r="B388" i="4"/>
  <c r="H387" i="4"/>
  <c r="G387" i="4"/>
  <c r="E387" i="4"/>
  <c r="B387" i="4"/>
  <c r="H386" i="4"/>
  <c r="G386" i="4"/>
  <c r="E386" i="4"/>
  <c r="B386" i="4"/>
  <c r="H385" i="4"/>
  <c r="G385" i="4"/>
  <c r="E385" i="4"/>
  <c r="B385" i="4"/>
  <c r="H384" i="4"/>
  <c r="G384" i="4"/>
  <c r="E384" i="4"/>
  <c r="B384" i="4"/>
  <c r="H383" i="4"/>
  <c r="G383" i="4"/>
  <c r="E383" i="4"/>
  <c r="B383" i="4"/>
  <c r="H382" i="4"/>
  <c r="G382" i="4"/>
  <c r="E382" i="4"/>
  <c r="B382" i="4"/>
  <c r="H381" i="4"/>
  <c r="G381" i="4"/>
  <c r="E381" i="4"/>
  <c r="B381" i="4"/>
  <c r="H380" i="4"/>
  <c r="G380" i="4"/>
  <c r="E380" i="4"/>
  <c r="B380" i="4"/>
  <c r="H379" i="4"/>
  <c r="G379" i="4"/>
  <c r="E379" i="4"/>
  <c r="B379" i="4"/>
  <c r="H378" i="4"/>
  <c r="G378" i="4"/>
  <c r="E378" i="4"/>
  <c r="B378" i="4"/>
  <c r="H377" i="4"/>
  <c r="G377" i="4"/>
  <c r="E377" i="4"/>
  <c r="B377" i="4"/>
  <c r="H376" i="4"/>
  <c r="G376" i="4"/>
  <c r="E376" i="4"/>
  <c r="B376" i="4"/>
  <c r="H375" i="4"/>
  <c r="G375" i="4"/>
  <c r="E375" i="4"/>
  <c r="B375" i="4"/>
  <c r="H374" i="4"/>
  <c r="G374" i="4"/>
  <c r="E374" i="4"/>
  <c r="B374" i="4"/>
  <c r="H373" i="4"/>
  <c r="G373" i="4"/>
  <c r="E373" i="4"/>
  <c r="B373" i="4"/>
  <c r="H372" i="4"/>
  <c r="G372" i="4"/>
  <c r="E372" i="4"/>
  <c r="B372" i="4"/>
  <c r="H371" i="4"/>
  <c r="G371" i="4"/>
  <c r="E371" i="4"/>
  <c r="B371" i="4"/>
  <c r="H370" i="4"/>
  <c r="G370" i="4"/>
  <c r="E370" i="4"/>
  <c r="B370" i="4"/>
  <c r="H369" i="4"/>
  <c r="G369" i="4"/>
  <c r="E369" i="4"/>
  <c r="B369" i="4"/>
  <c r="H368" i="4"/>
  <c r="G368" i="4"/>
  <c r="E368" i="4"/>
  <c r="B368" i="4"/>
  <c r="H367" i="4"/>
  <c r="G367" i="4"/>
  <c r="E367" i="4"/>
  <c r="B367" i="4"/>
  <c r="H366" i="4"/>
  <c r="G366" i="4"/>
  <c r="E366" i="4"/>
  <c r="B366" i="4"/>
  <c r="H365" i="4"/>
  <c r="G365" i="4"/>
  <c r="E365" i="4"/>
  <c r="B365" i="4"/>
  <c r="H364" i="4"/>
  <c r="G364" i="4"/>
  <c r="E364" i="4"/>
  <c r="B364" i="4"/>
  <c r="H363" i="4"/>
  <c r="G363" i="4"/>
  <c r="E363" i="4"/>
  <c r="B363" i="4"/>
  <c r="H362" i="4"/>
  <c r="G362" i="4"/>
  <c r="E362" i="4"/>
  <c r="B362" i="4"/>
  <c r="H361" i="4"/>
  <c r="G361" i="4"/>
  <c r="E361" i="4"/>
  <c r="B361" i="4"/>
  <c r="H360" i="4"/>
  <c r="G360" i="4"/>
  <c r="E360" i="4"/>
  <c r="B360" i="4"/>
  <c r="H359" i="4"/>
  <c r="G359" i="4"/>
  <c r="E359" i="4"/>
  <c r="B359" i="4"/>
  <c r="H358" i="4"/>
  <c r="G358" i="4"/>
  <c r="E358" i="4"/>
  <c r="B358" i="4"/>
  <c r="H357" i="4"/>
  <c r="G357" i="4"/>
  <c r="E357" i="4"/>
  <c r="B357" i="4"/>
  <c r="H356" i="4"/>
  <c r="G356" i="4"/>
  <c r="E356" i="4"/>
  <c r="B356" i="4"/>
  <c r="H355" i="4"/>
  <c r="G355" i="4"/>
  <c r="E355" i="4"/>
  <c r="B355" i="4"/>
  <c r="H354" i="4"/>
  <c r="G354" i="4"/>
  <c r="E354" i="4"/>
  <c r="B354" i="4"/>
  <c r="H353" i="4"/>
  <c r="G353" i="4"/>
  <c r="E353" i="4"/>
  <c r="B353" i="4"/>
  <c r="H352" i="4"/>
  <c r="G352" i="4"/>
  <c r="E352" i="4"/>
  <c r="B352" i="4"/>
  <c r="H351" i="4"/>
  <c r="G351" i="4"/>
  <c r="E351" i="4"/>
  <c r="B351" i="4"/>
  <c r="H350" i="4"/>
  <c r="G350" i="4"/>
  <c r="E350" i="4"/>
  <c r="B350" i="4"/>
  <c r="H349" i="4"/>
  <c r="G349" i="4"/>
  <c r="E349" i="4"/>
  <c r="B349" i="4"/>
  <c r="H348" i="4"/>
  <c r="G348" i="4"/>
  <c r="E348" i="4"/>
  <c r="B348" i="4"/>
  <c r="H347" i="4"/>
  <c r="G347" i="4"/>
  <c r="E347" i="4"/>
  <c r="B347" i="4"/>
  <c r="H346" i="4"/>
  <c r="G346" i="4"/>
  <c r="E346" i="4"/>
  <c r="B346" i="4"/>
  <c r="H345" i="4"/>
  <c r="G345" i="4"/>
  <c r="E345" i="4"/>
  <c r="B345" i="4"/>
  <c r="H344" i="4"/>
  <c r="G344" i="4"/>
  <c r="E344" i="4"/>
  <c r="B344" i="4"/>
  <c r="H343" i="4"/>
  <c r="G343" i="4"/>
  <c r="E343" i="4"/>
  <c r="B343" i="4"/>
  <c r="H342" i="4"/>
  <c r="G342" i="4"/>
  <c r="E342" i="4"/>
  <c r="B342" i="4"/>
  <c r="H341" i="4"/>
  <c r="G341" i="4"/>
  <c r="E341" i="4"/>
  <c r="B341" i="4"/>
  <c r="H340" i="4"/>
  <c r="G340" i="4"/>
  <c r="E340" i="4"/>
  <c r="B340" i="4"/>
  <c r="H339" i="4"/>
  <c r="G339" i="4"/>
  <c r="E339" i="4"/>
  <c r="B339" i="4"/>
  <c r="H338" i="4"/>
  <c r="G338" i="4"/>
  <c r="E338" i="4"/>
  <c r="B338" i="4"/>
  <c r="H337" i="4"/>
  <c r="G337" i="4"/>
  <c r="E337" i="4"/>
  <c r="B337" i="4"/>
  <c r="H336" i="4"/>
  <c r="G336" i="4"/>
  <c r="E336" i="4"/>
  <c r="B336" i="4"/>
  <c r="H335" i="4"/>
  <c r="G335" i="4"/>
  <c r="E335" i="4"/>
  <c r="B335" i="4"/>
  <c r="H334" i="4"/>
  <c r="G334" i="4"/>
  <c r="E334" i="4"/>
  <c r="B334" i="4"/>
  <c r="H333" i="4"/>
  <c r="G333" i="4"/>
  <c r="E333" i="4"/>
  <c r="B333" i="4"/>
  <c r="H332" i="4"/>
  <c r="G332" i="4"/>
  <c r="E332" i="4"/>
  <c r="B332" i="4"/>
  <c r="H331" i="4"/>
  <c r="G331" i="4"/>
  <c r="E331" i="4"/>
  <c r="B331" i="4"/>
  <c r="H330" i="4"/>
  <c r="G330" i="4"/>
  <c r="E330" i="4"/>
  <c r="B330" i="4"/>
  <c r="H329" i="4"/>
  <c r="G329" i="4"/>
  <c r="E329" i="4"/>
  <c r="B329" i="4"/>
  <c r="H328" i="4"/>
  <c r="G328" i="4"/>
  <c r="E328" i="4"/>
  <c r="B328" i="4"/>
  <c r="H327" i="4"/>
  <c r="G327" i="4"/>
  <c r="E327" i="4"/>
  <c r="B327" i="4"/>
  <c r="H326" i="4"/>
  <c r="G326" i="4"/>
  <c r="E326" i="4"/>
  <c r="B326" i="4"/>
  <c r="H325" i="4"/>
  <c r="G325" i="4"/>
  <c r="E325" i="4"/>
  <c r="B325" i="4"/>
  <c r="H324" i="4"/>
  <c r="G324" i="4"/>
  <c r="E324" i="4"/>
  <c r="B324" i="4"/>
  <c r="H323" i="4"/>
  <c r="G323" i="4"/>
  <c r="E323" i="4"/>
  <c r="B323" i="4"/>
  <c r="H322" i="4"/>
  <c r="G322" i="4"/>
  <c r="E322" i="4"/>
  <c r="B322" i="4"/>
  <c r="H321" i="4"/>
  <c r="G321" i="4"/>
  <c r="E321" i="4"/>
  <c r="B321" i="4"/>
  <c r="H320" i="4"/>
  <c r="G320" i="4"/>
  <c r="E320" i="4"/>
  <c r="B320" i="4"/>
  <c r="H319" i="4"/>
  <c r="G319" i="4"/>
  <c r="E319" i="4"/>
  <c r="B319" i="4"/>
  <c r="H318" i="4"/>
  <c r="G318" i="4"/>
  <c r="E318" i="4"/>
  <c r="B318" i="4"/>
  <c r="H317" i="4"/>
  <c r="G317" i="4"/>
  <c r="E317" i="4"/>
  <c r="B317" i="4"/>
  <c r="H316" i="4"/>
  <c r="G316" i="4"/>
  <c r="E316" i="4"/>
  <c r="B316" i="4"/>
  <c r="H315" i="4"/>
  <c r="G315" i="4"/>
  <c r="E315" i="4"/>
  <c r="B315" i="4"/>
  <c r="H314" i="4"/>
  <c r="G314" i="4"/>
  <c r="E314" i="4"/>
  <c r="B314" i="4"/>
  <c r="H313" i="4"/>
  <c r="G313" i="4"/>
  <c r="E313" i="4"/>
  <c r="B313" i="4"/>
  <c r="H312" i="4"/>
  <c r="G312" i="4"/>
  <c r="E312" i="4"/>
  <c r="B312" i="4"/>
  <c r="H311" i="4"/>
  <c r="G311" i="4"/>
  <c r="E311" i="4"/>
  <c r="B311" i="4"/>
  <c r="H310" i="4"/>
  <c r="G310" i="4"/>
  <c r="E310" i="4"/>
  <c r="B310" i="4"/>
  <c r="H309" i="4"/>
  <c r="G309" i="4"/>
  <c r="E309" i="4"/>
  <c r="B309" i="4"/>
  <c r="H308" i="4"/>
  <c r="G308" i="4"/>
  <c r="E308" i="4"/>
  <c r="B308" i="4"/>
  <c r="H307" i="4"/>
  <c r="G307" i="4"/>
  <c r="E307" i="4"/>
  <c r="B307" i="4"/>
  <c r="H306" i="4"/>
  <c r="G306" i="4"/>
  <c r="E306" i="4"/>
  <c r="B306" i="4"/>
  <c r="H305" i="4"/>
  <c r="G305" i="4"/>
  <c r="E305" i="4"/>
  <c r="B305" i="4"/>
  <c r="H304" i="4"/>
  <c r="G304" i="4"/>
  <c r="E304" i="4"/>
  <c r="B304" i="4"/>
  <c r="H303" i="4"/>
  <c r="G303" i="4"/>
  <c r="E303" i="4"/>
  <c r="B303" i="4"/>
  <c r="H302" i="4"/>
  <c r="G302" i="4"/>
  <c r="E302" i="4"/>
  <c r="B302" i="4"/>
  <c r="H301" i="4"/>
  <c r="G301" i="4"/>
  <c r="E301" i="4"/>
  <c r="B301" i="4"/>
  <c r="H300" i="4"/>
  <c r="G300" i="4"/>
  <c r="E300" i="4"/>
  <c r="B300" i="4"/>
  <c r="H299" i="4"/>
  <c r="G299" i="4"/>
  <c r="E299" i="4"/>
  <c r="B299" i="4"/>
  <c r="H298" i="4"/>
  <c r="G298" i="4"/>
  <c r="E298" i="4"/>
  <c r="B298" i="4"/>
  <c r="H297" i="4"/>
  <c r="G297" i="4"/>
  <c r="E297" i="4"/>
  <c r="B297" i="4"/>
  <c r="H296" i="4"/>
  <c r="G296" i="4"/>
  <c r="E296" i="4"/>
  <c r="B296" i="4"/>
  <c r="H295" i="4"/>
  <c r="G295" i="4"/>
  <c r="E295" i="4"/>
  <c r="B295" i="4"/>
  <c r="H294" i="4"/>
  <c r="G294" i="4"/>
  <c r="E294" i="4"/>
  <c r="B294" i="4"/>
  <c r="H293" i="4"/>
  <c r="G293" i="4"/>
  <c r="E293" i="4"/>
  <c r="B293" i="4"/>
  <c r="H292" i="4"/>
  <c r="G292" i="4"/>
  <c r="E292" i="4"/>
  <c r="B292" i="4"/>
  <c r="H291" i="4"/>
  <c r="G291" i="4"/>
  <c r="E291" i="4"/>
  <c r="B291" i="4"/>
  <c r="H290" i="4"/>
  <c r="G290" i="4"/>
  <c r="E290" i="4"/>
  <c r="B290" i="4"/>
  <c r="H289" i="4"/>
  <c r="G289" i="4"/>
  <c r="E289" i="4"/>
  <c r="B289" i="4"/>
  <c r="H288" i="4"/>
  <c r="G288" i="4"/>
  <c r="E288" i="4"/>
  <c r="B288" i="4"/>
  <c r="H287" i="4"/>
  <c r="G287" i="4"/>
  <c r="E287" i="4"/>
  <c r="B287" i="4"/>
  <c r="H286" i="4"/>
  <c r="G286" i="4"/>
  <c r="E286" i="4"/>
  <c r="B286" i="4"/>
  <c r="H285" i="4"/>
  <c r="G285" i="4"/>
  <c r="E285" i="4"/>
  <c r="B285" i="4"/>
  <c r="H284" i="4"/>
  <c r="G284" i="4"/>
  <c r="E284" i="4"/>
  <c r="B284" i="4"/>
  <c r="H283" i="4"/>
  <c r="G283" i="4"/>
  <c r="E283" i="4"/>
  <c r="B283" i="4"/>
  <c r="H282" i="4"/>
  <c r="G282" i="4"/>
  <c r="E282" i="4"/>
  <c r="B282" i="4"/>
  <c r="H281" i="4"/>
  <c r="G281" i="4"/>
  <c r="E281" i="4"/>
  <c r="B281" i="4"/>
  <c r="H280" i="4"/>
  <c r="G280" i="4"/>
  <c r="E280" i="4"/>
  <c r="B280" i="4"/>
  <c r="H279" i="4"/>
  <c r="G279" i="4"/>
  <c r="E279" i="4"/>
  <c r="B279" i="4"/>
  <c r="H278" i="4"/>
  <c r="G278" i="4"/>
  <c r="E278" i="4"/>
  <c r="B278" i="4"/>
  <c r="H277" i="4"/>
  <c r="G277" i="4"/>
  <c r="E277" i="4"/>
  <c r="B277" i="4"/>
  <c r="H276" i="4"/>
  <c r="G276" i="4"/>
  <c r="E276" i="4"/>
  <c r="B276" i="4"/>
  <c r="H275" i="4"/>
  <c r="G275" i="4"/>
  <c r="E275" i="4"/>
  <c r="B275" i="4"/>
  <c r="H274" i="4"/>
  <c r="G274" i="4"/>
  <c r="E274" i="4"/>
  <c r="B274" i="4"/>
  <c r="H273" i="4"/>
  <c r="G273" i="4"/>
  <c r="E273" i="4"/>
  <c r="B273" i="4"/>
  <c r="H272" i="4"/>
  <c r="G272" i="4"/>
  <c r="E272" i="4"/>
  <c r="B272" i="4"/>
  <c r="H271" i="4"/>
  <c r="G271" i="4"/>
  <c r="E271" i="4"/>
  <c r="B271" i="4"/>
  <c r="H270" i="4"/>
  <c r="G270" i="4"/>
  <c r="E270" i="4"/>
  <c r="B270" i="4"/>
  <c r="H269" i="4"/>
  <c r="G269" i="4"/>
  <c r="E269" i="4"/>
  <c r="B269" i="4"/>
  <c r="H268" i="4"/>
  <c r="G268" i="4"/>
  <c r="E268" i="4"/>
  <c r="B268" i="4"/>
  <c r="H267" i="4"/>
  <c r="G267" i="4"/>
  <c r="E267" i="4"/>
  <c r="B267" i="4"/>
  <c r="H266" i="4"/>
  <c r="G266" i="4"/>
  <c r="E266" i="4"/>
  <c r="B266" i="4"/>
  <c r="H265" i="4"/>
  <c r="G265" i="4"/>
  <c r="E265" i="4"/>
  <c r="B265" i="4"/>
  <c r="H264" i="4"/>
  <c r="G264" i="4"/>
  <c r="E264" i="4"/>
  <c r="B264" i="4"/>
  <c r="H263" i="4"/>
  <c r="G263" i="4"/>
  <c r="E263" i="4"/>
  <c r="B263" i="4"/>
  <c r="H262" i="4"/>
  <c r="G262" i="4"/>
  <c r="E262" i="4"/>
  <c r="B262" i="4"/>
  <c r="H261" i="4"/>
  <c r="G261" i="4"/>
  <c r="E261" i="4"/>
  <c r="B261" i="4"/>
  <c r="H260" i="4"/>
  <c r="G260" i="4"/>
  <c r="E260" i="4"/>
  <c r="B260" i="4"/>
  <c r="H259" i="4"/>
  <c r="G259" i="4"/>
  <c r="E259" i="4"/>
  <c r="B259" i="4"/>
  <c r="H258" i="4"/>
  <c r="G258" i="4"/>
  <c r="E258" i="4"/>
  <c r="B258" i="4"/>
  <c r="H257" i="4"/>
  <c r="G257" i="4"/>
  <c r="E257" i="4"/>
  <c r="B257" i="4"/>
  <c r="H256" i="4"/>
  <c r="G256" i="4"/>
  <c r="E256" i="4"/>
  <c r="B256" i="4"/>
  <c r="H255" i="4"/>
  <c r="G255" i="4"/>
  <c r="E255" i="4"/>
  <c r="B255" i="4"/>
  <c r="H254" i="4"/>
  <c r="G254" i="4"/>
  <c r="E254" i="4"/>
  <c r="B254" i="4"/>
  <c r="H253" i="4"/>
  <c r="G253" i="4"/>
  <c r="E253" i="4"/>
  <c r="B253" i="4"/>
  <c r="H252" i="4"/>
  <c r="G252" i="4"/>
  <c r="E252" i="4"/>
  <c r="B252" i="4"/>
  <c r="H251" i="4"/>
  <c r="G251" i="4"/>
  <c r="E251" i="4"/>
  <c r="B251" i="4"/>
  <c r="H250" i="4"/>
  <c r="G250" i="4"/>
  <c r="E250" i="4"/>
  <c r="B250" i="4"/>
  <c r="H249" i="4"/>
  <c r="G249" i="4"/>
  <c r="E249" i="4"/>
  <c r="B249" i="4"/>
  <c r="H248" i="4"/>
  <c r="G248" i="4"/>
  <c r="E248" i="4"/>
  <c r="B248" i="4"/>
  <c r="H247" i="4"/>
  <c r="G247" i="4"/>
  <c r="E247" i="4"/>
  <c r="B247" i="4"/>
  <c r="H246" i="4"/>
  <c r="G246" i="4"/>
  <c r="E246" i="4"/>
  <c r="B246" i="4"/>
  <c r="H245" i="4"/>
  <c r="G245" i="4"/>
  <c r="E245" i="4"/>
  <c r="B245" i="4"/>
  <c r="H244" i="4"/>
  <c r="G244" i="4"/>
  <c r="E244" i="4"/>
  <c r="B244" i="4"/>
  <c r="H243" i="4"/>
  <c r="G243" i="4"/>
  <c r="E243" i="4"/>
  <c r="B243" i="4"/>
  <c r="H242" i="4"/>
  <c r="G242" i="4"/>
  <c r="E242" i="4"/>
  <c r="B242" i="4"/>
  <c r="H241" i="4"/>
  <c r="G241" i="4"/>
  <c r="E241" i="4"/>
  <c r="B241" i="4"/>
  <c r="H240" i="4"/>
  <c r="G240" i="4"/>
  <c r="E240" i="4"/>
  <c r="B240" i="4"/>
  <c r="H239" i="4"/>
  <c r="G239" i="4"/>
  <c r="E239" i="4"/>
  <c r="B239" i="4"/>
  <c r="H238" i="4"/>
  <c r="G238" i="4"/>
  <c r="E238" i="4"/>
  <c r="B238" i="4"/>
  <c r="H237" i="4"/>
  <c r="G237" i="4"/>
  <c r="E237" i="4"/>
  <c r="B237" i="4"/>
  <c r="H236" i="4"/>
  <c r="G236" i="4"/>
  <c r="E236" i="4"/>
  <c r="B236" i="4"/>
  <c r="H235" i="4"/>
  <c r="G235" i="4"/>
  <c r="E235" i="4"/>
  <c r="B235" i="4"/>
  <c r="H234" i="4"/>
  <c r="G234" i="4"/>
  <c r="E234" i="4"/>
  <c r="B234" i="4"/>
  <c r="H233" i="4"/>
  <c r="G233" i="4"/>
  <c r="E233" i="4"/>
  <c r="B233" i="4"/>
  <c r="H232" i="4"/>
  <c r="G232" i="4"/>
  <c r="E232" i="4"/>
  <c r="B232" i="4"/>
  <c r="H231" i="4"/>
  <c r="G231" i="4"/>
  <c r="E231" i="4"/>
  <c r="B231" i="4"/>
  <c r="H230" i="4"/>
  <c r="G230" i="4"/>
  <c r="E230" i="4"/>
  <c r="B230" i="4"/>
  <c r="H229" i="4"/>
  <c r="G229" i="4"/>
  <c r="E229" i="4"/>
  <c r="B229" i="4"/>
  <c r="H228" i="4"/>
  <c r="G228" i="4"/>
  <c r="E228" i="4"/>
  <c r="B228" i="4"/>
  <c r="H227" i="4"/>
  <c r="G227" i="4"/>
  <c r="E227" i="4"/>
  <c r="B227" i="4"/>
  <c r="H226" i="4"/>
  <c r="G226" i="4"/>
  <c r="E226" i="4"/>
  <c r="B226" i="4"/>
  <c r="H225" i="4"/>
  <c r="G225" i="4"/>
  <c r="E225" i="4"/>
  <c r="B225" i="4"/>
  <c r="H224" i="4"/>
  <c r="G224" i="4"/>
  <c r="E224" i="4"/>
  <c r="B224" i="4"/>
  <c r="H223" i="4"/>
  <c r="G223" i="4"/>
  <c r="E223" i="4"/>
  <c r="B223" i="4"/>
  <c r="H222" i="4"/>
  <c r="G222" i="4"/>
  <c r="E222" i="4"/>
  <c r="B222" i="4"/>
  <c r="H221" i="4"/>
  <c r="G221" i="4"/>
  <c r="E221" i="4"/>
  <c r="B221" i="4"/>
  <c r="H220" i="4"/>
  <c r="G220" i="4"/>
  <c r="E220" i="4"/>
  <c r="B220" i="4"/>
  <c r="H219" i="4"/>
  <c r="G219" i="4"/>
  <c r="E219" i="4"/>
  <c r="B219" i="4"/>
  <c r="H218" i="4"/>
  <c r="G218" i="4"/>
  <c r="E218" i="4"/>
  <c r="B218" i="4"/>
  <c r="H217" i="4"/>
  <c r="G217" i="4"/>
  <c r="E217" i="4"/>
  <c r="B217" i="4"/>
  <c r="H216" i="4"/>
  <c r="G216" i="4"/>
  <c r="E216" i="4"/>
  <c r="B216" i="4"/>
  <c r="H215" i="4"/>
  <c r="G215" i="4"/>
  <c r="E215" i="4"/>
  <c r="B215" i="4"/>
  <c r="H214" i="4"/>
  <c r="G214" i="4"/>
  <c r="E214" i="4"/>
  <c r="B214" i="4"/>
  <c r="H213" i="4"/>
  <c r="G213" i="4"/>
  <c r="E213" i="4"/>
  <c r="B213" i="4"/>
  <c r="H212" i="4"/>
  <c r="G212" i="4"/>
  <c r="E212" i="4"/>
  <c r="B212" i="4"/>
  <c r="H211" i="4"/>
  <c r="G211" i="4"/>
  <c r="E211" i="4"/>
  <c r="B211" i="4"/>
  <c r="H210" i="4"/>
  <c r="G210" i="4"/>
  <c r="E210" i="4"/>
  <c r="B210" i="4"/>
  <c r="H209" i="4"/>
  <c r="G209" i="4"/>
  <c r="E209" i="4"/>
  <c r="B209" i="4"/>
  <c r="H208" i="4"/>
  <c r="G208" i="4"/>
  <c r="E208" i="4"/>
  <c r="B208" i="4"/>
  <c r="H207" i="4"/>
  <c r="G207" i="4"/>
  <c r="E207" i="4"/>
  <c r="B207" i="4"/>
  <c r="H206" i="4"/>
  <c r="G206" i="4"/>
  <c r="E206" i="4"/>
  <c r="B206" i="4"/>
  <c r="H205" i="4"/>
  <c r="G205" i="4"/>
  <c r="E205" i="4"/>
  <c r="B205" i="4"/>
  <c r="H204" i="4"/>
  <c r="G204" i="4"/>
  <c r="E204" i="4"/>
  <c r="B204" i="4"/>
  <c r="H203" i="4"/>
  <c r="G203" i="4"/>
  <c r="E203" i="4"/>
  <c r="B203" i="4"/>
  <c r="H202" i="4"/>
  <c r="G202" i="4"/>
  <c r="E202" i="4"/>
  <c r="B202" i="4"/>
  <c r="H201" i="4"/>
  <c r="G201" i="4"/>
  <c r="E201" i="4"/>
  <c r="B201" i="4"/>
  <c r="H200" i="4"/>
  <c r="G200" i="4"/>
  <c r="E200" i="4"/>
  <c r="B200" i="4"/>
  <c r="H199" i="4"/>
  <c r="G199" i="4"/>
  <c r="E199" i="4"/>
  <c r="B199" i="4"/>
  <c r="H198" i="4"/>
  <c r="G198" i="4"/>
  <c r="E198" i="4"/>
  <c r="B198" i="4"/>
  <c r="H197" i="4"/>
  <c r="G197" i="4"/>
  <c r="E197" i="4"/>
  <c r="B197" i="4"/>
  <c r="H196" i="4"/>
  <c r="G196" i="4"/>
  <c r="E196" i="4"/>
  <c r="B196" i="4"/>
  <c r="H195" i="4"/>
  <c r="G195" i="4"/>
  <c r="E195" i="4"/>
  <c r="B195" i="4"/>
  <c r="H194" i="4"/>
  <c r="G194" i="4"/>
  <c r="E194" i="4"/>
  <c r="B194" i="4"/>
  <c r="H193" i="4"/>
  <c r="G193" i="4"/>
  <c r="E193" i="4"/>
  <c r="B193" i="4"/>
  <c r="H192" i="4"/>
  <c r="G192" i="4"/>
  <c r="E192" i="4"/>
  <c r="B192" i="4"/>
  <c r="H191" i="4"/>
  <c r="G191" i="4"/>
  <c r="E191" i="4"/>
  <c r="B191" i="4"/>
  <c r="H190" i="4"/>
  <c r="G190" i="4"/>
  <c r="E190" i="4"/>
  <c r="B190" i="4"/>
  <c r="H189" i="4"/>
  <c r="G189" i="4"/>
  <c r="E189" i="4"/>
  <c r="B189" i="4"/>
  <c r="H188" i="4"/>
  <c r="G188" i="4"/>
  <c r="E188" i="4"/>
  <c r="B188" i="4"/>
  <c r="H187" i="4"/>
  <c r="G187" i="4"/>
  <c r="E187" i="4"/>
  <c r="B187" i="4"/>
  <c r="H186" i="4"/>
  <c r="G186" i="4"/>
  <c r="E186" i="4"/>
  <c r="B186" i="4"/>
  <c r="H185" i="4"/>
  <c r="G185" i="4"/>
  <c r="E185" i="4"/>
  <c r="B185" i="4"/>
  <c r="H184" i="4"/>
  <c r="G184" i="4"/>
  <c r="E184" i="4"/>
  <c r="B184" i="4"/>
  <c r="H183" i="4"/>
  <c r="G183" i="4"/>
  <c r="E183" i="4"/>
  <c r="B183" i="4"/>
  <c r="H182" i="4"/>
  <c r="G182" i="4"/>
  <c r="E182" i="4"/>
  <c r="B182" i="4"/>
  <c r="H181" i="4"/>
  <c r="G181" i="4"/>
  <c r="E181" i="4"/>
  <c r="B181" i="4"/>
  <c r="H180" i="4"/>
  <c r="G180" i="4"/>
  <c r="E180" i="4"/>
  <c r="B180" i="4"/>
  <c r="H179" i="4"/>
  <c r="G179" i="4"/>
  <c r="E179" i="4"/>
  <c r="B179" i="4"/>
  <c r="H178" i="4"/>
  <c r="G178" i="4"/>
  <c r="E178" i="4"/>
  <c r="B178" i="4"/>
  <c r="H177" i="4"/>
  <c r="G177" i="4"/>
  <c r="E177" i="4"/>
  <c r="B177" i="4"/>
  <c r="H176" i="4"/>
  <c r="G176" i="4"/>
  <c r="E176" i="4"/>
  <c r="B176" i="4"/>
  <c r="H175" i="4"/>
  <c r="G175" i="4"/>
  <c r="E175" i="4"/>
  <c r="B175" i="4"/>
  <c r="H174" i="4"/>
  <c r="G174" i="4"/>
  <c r="E174" i="4"/>
  <c r="B174" i="4"/>
  <c r="H173" i="4"/>
  <c r="G173" i="4"/>
  <c r="E173" i="4"/>
  <c r="B173" i="4"/>
  <c r="H172" i="4"/>
  <c r="G172" i="4"/>
  <c r="E172" i="4"/>
  <c r="B172" i="4"/>
  <c r="H171" i="4"/>
  <c r="G171" i="4"/>
  <c r="E171" i="4"/>
  <c r="B171" i="4"/>
  <c r="H170" i="4"/>
  <c r="G170" i="4"/>
  <c r="E170" i="4"/>
  <c r="B170" i="4"/>
  <c r="H169" i="4"/>
  <c r="G169" i="4"/>
  <c r="E169" i="4"/>
  <c r="B169" i="4"/>
  <c r="H168" i="4"/>
  <c r="G168" i="4"/>
  <c r="E168" i="4"/>
  <c r="B168" i="4"/>
  <c r="H167" i="4"/>
  <c r="G167" i="4"/>
  <c r="E167" i="4"/>
  <c r="B167" i="4"/>
  <c r="H166" i="4"/>
  <c r="G166" i="4"/>
  <c r="E166" i="4"/>
  <c r="B166" i="4"/>
  <c r="H165" i="4"/>
  <c r="G165" i="4"/>
  <c r="E165" i="4"/>
  <c r="B165" i="4"/>
  <c r="H164" i="4"/>
  <c r="G164" i="4"/>
  <c r="E164" i="4"/>
  <c r="B164" i="4"/>
  <c r="H163" i="4"/>
  <c r="G163" i="4"/>
  <c r="E163" i="4"/>
  <c r="B163" i="4"/>
  <c r="H162" i="4"/>
  <c r="G162" i="4"/>
  <c r="E162" i="4"/>
  <c r="B162" i="4"/>
  <c r="H161" i="4"/>
  <c r="G161" i="4"/>
  <c r="E161" i="4"/>
  <c r="B161" i="4"/>
  <c r="H160" i="4"/>
  <c r="G160" i="4"/>
  <c r="E160" i="4"/>
  <c r="B160" i="4"/>
  <c r="H159" i="4"/>
  <c r="G159" i="4"/>
  <c r="E159" i="4"/>
  <c r="B159" i="4"/>
  <c r="H158" i="4"/>
  <c r="G158" i="4"/>
  <c r="E158" i="4"/>
  <c r="B158" i="4"/>
  <c r="H157" i="4"/>
  <c r="G157" i="4"/>
  <c r="E157" i="4"/>
  <c r="B157" i="4"/>
  <c r="H156" i="4"/>
  <c r="G156" i="4"/>
  <c r="E156" i="4"/>
  <c r="B156" i="4"/>
  <c r="H155" i="4"/>
  <c r="G155" i="4"/>
  <c r="E155" i="4"/>
  <c r="B155" i="4"/>
  <c r="H154" i="4"/>
  <c r="G154" i="4"/>
  <c r="E154" i="4"/>
  <c r="B154" i="4"/>
  <c r="H153" i="4"/>
  <c r="G153" i="4"/>
  <c r="E153" i="4"/>
  <c r="B153" i="4"/>
  <c r="H152" i="4"/>
  <c r="G152" i="4"/>
  <c r="E152" i="4"/>
  <c r="B152" i="4"/>
  <c r="H151" i="4"/>
  <c r="G151" i="4"/>
  <c r="E151" i="4"/>
  <c r="B151" i="4"/>
  <c r="H150" i="4"/>
  <c r="G150" i="4"/>
  <c r="E150" i="4"/>
  <c r="B150" i="4"/>
  <c r="H149" i="4"/>
  <c r="G149" i="4"/>
  <c r="E149" i="4"/>
  <c r="B149" i="4"/>
  <c r="H148" i="4"/>
  <c r="G148" i="4"/>
  <c r="E148" i="4"/>
  <c r="B148" i="4"/>
  <c r="H147" i="4"/>
  <c r="G147" i="4"/>
  <c r="E147" i="4"/>
  <c r="B147" i="4"/>
  <c r="H146" i="4"/>
  <c r="G146" i="4"/>
  <c r="E146" i="4"/>
  <c r="B146" i="4"/>
  <c r="H145" i="4"/>
  <c r="G145" i="4"/>
  <c r="E145" i="4"/>
  <c r="B145" i="4"/>
  <c r="H144" i="4"/>
  <c r="G144" i="4"/>
  <c r="E144" i="4"/>
  <c r="B144" i="4"/>
  <c r="H143" i="4"/>
  <c r="G143" i="4"/>
  <c r="E143" i="4"/>
  <c r="B143" i="4"/>
  <c r="H142" i="4"/>
  <c r="G142" i="4"/>
  <c r="E142" i="4"/>
  <c r="B142" i="4"/>
  <c r="H141" i="4"/>
  <c r="G141" i="4"/>
  <c r="E141" i="4"/>
  <c r="B141" i="4"/>
  <c r="H140" i="4"/>
  <c r="G140" i="4"/>
  <c r="E140" i="4"/>
  <c r="B140" i="4"/>
  <c r="H139" i="4"/>
  <c r="G139" i="4"/>
  <c r="E139" i="4"/>
  <c r="B139" i="4"/>
  <c r="H138" i="4"/>
  <c r="G138" i="4"/>
  <c r="E138" i="4"/>
  <c r="B138" i="4"/>
  <c r="H137" i="4"/>
  <c r="G137" i="4"/>
  <c r="E137" i="4"/>
  <c r="B137" i="4"/>
  <c r="H136" i="4"/>
  <c r="G136" i="4"/>
  <c r="E136" i="4"/>
  <c r="B136" i="4"/>
  <c r="H135" i="4"/>
  <c r="G135" i="4"/>
  <c r="E135" i="4"/>
  <c r="B135" i="4"/>
  <c r="H134" i="4"/>
  <c r="G134" i="4"/>
  <c r="E134" i="4"/>
  <c r="B134" i="4"/>
  <c r="H133" i="4"/>
  <c r="G133" i="4"/>
  <c r="E133" i="4"/>
  <c r="B133" i="4"/>
  <c r="H132" i="4"/>
  <c r="G132" i="4"/>
  <c r="E132" i="4"/>
  <c r="B132" i="4"/>
  <c r="H131" i="4"/>
  <c r="G131" i="4"/>
  <c r="E131" i="4"/>
  <c r="B131" i="4"/>
  <c r="H130" i="4"/>
  <c r="G130" i="4"/>
  <c r="E130" i="4"/>
  <c r="B130" i="4"/>
  <c r="H129" i="4"/>
  <c r="G129" i="4"/>
  <c r="E129" i="4"/>
  <c r="B129" i="4"/>
  <c r="H128" i="4"/>
  <c r="G128" i="4"/>
  <c r="E128" i="4"/>
  <c r="B128" i="4"/>
  <c r="H127" i="4"/>
  <c r="G127" i="4"/>
  <c r="E127" i="4"/>
  <c r="B127" i="4"/>
  <c r="H126" i="4"/>
  <c r="G126" i="4"/>
  <c r="E126" i="4"/>
  <c r="B126" i="4"/>
  <c r="H125" i="4"/>
  <c r="G125" i="4"/>
  <c r="E125" i="4"/>
  <c r="B125" i="4"/>
  <c r="H124" i="4"/>
  <c r="G124" i="4"/>
  <c r="E124" i="4"/>
  <c r="B124" i="4"/>
  <c r="H123" i="4"/>
  <c r="G123" i="4"/>
  <c r="E123" i="4"/>
  <c r="B123" i="4"/>
  <c r="H122" i="4"/>
  <c r="G122" i="4"/>
  <c r="E122" i="4"/>
  <c r="B122" i="4"/>
  <c r="H121" i="4"/>
  <c r="G121" i="4"/>
  <c r="E121" i="4"/>
  <c r="B121" i="4"/>
  <c r="H120" i="4"/>
  <c r="G120" i="4"/>
  <c r="E120" i="4"/>
  <c r="B120" i="4"/>
  <c r="H119" i="4"/>
  <c r="G119" i="4"/>
  <c r="E119" i="4"/>
  <c r="B119" i="4"/>
  <c r="H118" i="4"/>
  <c r="G118" i="4"/>
  <c r="E118" i="4"/>
  <c r="B118" i="4"/>
  <c r="H117" i="4"/>
  <c r="G117" i="4"/>
  <c r="E117" i="4"/>
  <c r="B117" i="4"/>
  <c r="H116" i="4"/>
  <c r="G116" i="4"/>
  <c r="E116" i="4"/>
  <c r="B116" i="4"/>
  <c r="H115" i="4"/>
  <c r="G115" i="4"/>
  <c r="E115" i="4"/>
  <c r="B115" i="4"/>
  <c r="H114" i="4"/>
  <c r="G114" i="4"/>
  <c r="E114" i="4"/>
  <c r="B114" i="4"/>
  <c r="H113" i="4"/>
  <c r="G113" i="4"/>
  <c r="E113" i="4"/>
  <c r="B113" i="4"/>
  <c r="H112" i="4"/>
  <c r="G112" i="4"/>
  <c r="E112" i="4"/>
  <c r="B112" i="4"/>
  <c r="H111" i="4"/>
  <c r="G111" i="4"/>
  <c r="E111" i="4"/>
  <c r="B111" i="4"/>
  <c r="H110" i="4"/>
  <c r="G110" i="4"/>
  <c r="E110" i="4"/>
  <c r="B110" i="4"/>
  <c r="H109" i="4"/>
  <c r="G109" i="4"/>
  <c r="E109" i="4"/>
  <c r="B109" i="4"/>
  <c r="H108" i="4"/>
  <c r="G108" i="4"/>
  <c r="E108" i="4"/>
  <c r="B108" i="4"/>
  <c r="H107" i="4"/>
  <c r="G107" i="4"/>
  <c r="E107" i="4"/>
  <c r="B107" i="4"/>
  <c r="H106" i="4"/>
  <c r="G106" i="4"/>
  <c r="E106" i="4"/>
  <c r="B106" i="4"/>
  <c r="H105" i="4"/>
  <c r="G105" i="4"/>
  <c r="E105" i="4"/>
  <c r="B105" i="4"/>
  <c r="H104" i="4"/>
  <c r="G104" i="4"/>
  <c r="E104" i="4"/>
  <c r="B104" i="4"/>
  <c r="H103" i="4"/>
  <c r="G103" i="4"/>
  <c r="E103" i="4"/>
  <c r="B103" i="4"/>
  <c r="H102" i="4"/>
  <c r="G102" i="4"/>
  <c r="E102" i="4"/>
  <c r="B102" i="4"/>
  <c r="H101" i="4"/>
  <c r="G101" i="4"/>
  <c r="E101" i="4"/>
  <c r="B101" i="4"/>
  <c r="H100" i="4"/>
  <c r="G100" i="4"/>
  <c r="E100" i="4"/>
  <c r="B100" i="4"/>
  <c r="H99" i="4"/>
  <c r="G99" i="4"/>
  <c r="E99" i="4"/>
  <c r="B99" i="4"/>
  <c r="H98" i="4"/>
  <c r="G98" i="4"/>
  <c r="E98" i="4"/>
  <c r="B98" i="4"/>
  <c r="H97" i="4"/>
  <c r="G97" i="4"/>
  <c r="E97" i="4"/>
  <c r="B97" i="4"/>
  <c r="H96" i="4"/>
  <c r="G96" i="4"/>
  <c r="E96" i="4"/>
  <c r="B96" i="4"/>
  <c r="H95" i="4"/>
  <c r="G95" i="4"/>
  <c r="E95" i="4"/>
  <c r="B95" i="4"/>
  <c r="H94" i="4"/>
  <c r="G94" i="4"/>
  <c r="E94" i="4"/>
  <c r="B94" i="4"/>
  <c r="H93" i="4"/>
  <c r="G93" i="4"/>
  <c r="E93" i="4"/>
  <c r="B93" i="4"/>
  <c r="H92" i="4"/>
  <c r="G92" i="4"/>
  <c r="E92" i="4"/>
  <c r="B92" i="4"/>
  <c r="H91" i="4"/>
  <c r="G91" i="4"/>
  <c r="E91" i="4"/>
  <c r="B91" i="4"/>
  <c r="H90" i="4"/>
  <c r="G90" i="4"/>
  <c r="E90" i="4"/>
  <c r="B90" i="4"/>
  <c r="H89" i="4"/>
  <c r="G89" i="4"/>
  <c r="E89" i="4"/>
  <c r="B89" i="4"/>
  <c r="H88" i="4"/>
  <c r="G88" i="4"/>
  <c r="E88" i="4"/>
  <c r="B88" i="4"/>
  <c r="H87" i="4"/>
  <c r="G87" i="4"/>
  <c r="E87" i="4"/>
  <c r="B87" i="4"/>
  <c r="H86" i="4"/>
  <c r="G86" i="4"/>
  <c r="E86" i="4"/>
  <c r="B86" i="4"/>
  <c r="H85" i="4"/>
  <c r="G85" i="4"/>
  <c r="E85" i="4"/>
  <c r="B85" i="4"/>
  <c r="H84" i="4"/>
  <c r="G84" i="4"/>
  <c r="E84" i="4"/>
  <c r="B84" i="4"/>
  <c r="H83" i="4"/>
  <c r="G83" i="4"/>
  <c r="E83" i="4"/>
  <c r="B83" i="4"/>
  <c r="H82" i="4"/>
  <c r="G82" i="4"/>
  <c r="E82" i="4"/>
  <c r="B82" i="4"/>
  <c r="H81" i="4"/>
  <c r="G81" i="4"/>
  <c r="E81" i="4"/>
  <c r="B81" i="4"/>
  <c r="H80" i="4"/>
  <c r="G80" i="4"/>
  <c r="E80" i="4"/>
  <c r="B80" i="4"/>
  <c r="H79" i="4"/>
  <c r="G79" i="4"/>
  <c r="E79" i="4"/>
  <c r="B79" i="4"/>
  <c r="H78" i="4"/>
  <c r="G78" i="4"/>
  <c r="E78" i="4"/>
  <c r="B78" i="4"/>
  <c r="H77" i="4"/>
  <c r="G77" i="4"/>
  <c r="E77" i="4"/>
  <c r="B77" i="4"/>
  <c r="H76" i="4"/>
  <c r="G76" i="4"/>
  <c r="E76" i="4"/>
  <c r="B76" i="4"/>
  <c r="H75" i="4"/>
  <c r="G75" i="4"/>
  <c r="E75" i="4"/>
  <c r="B75" i="4"/>
  <c r="H74" i="4"/>
  <c r="G74" i="4"/>
  <c r="E74" i="4"/>
  <c r="B74" i="4"/>
  <c r="H73" i="4"/>
  <c r="G73" i="4"/>
  <c r="E73" i="4"/>
  <c r="B73" i="4"/>
  <c r="H72" i="4"/>
  <c r="G72" i="4"/>
  <c r="E72" i="4"/>
  <c r="B72" i="4"/>
  <c r="H71" i="4"/>
  <c r="G71" i="4"/>
  <c r="E71" i="4"/>
  <c r="B71" i="4"/>
  <c r="H70" i="4"/>
  <c r="G70" i="4"/>
  <c r="E70" i="4"/>
  <c r="B70" i="4"/>
  <c r="H69" i="4"/>
  <c r="G69" i="4"/>
  <c r="E69" i="4"/>
  <c r="B69" i="4"/>
  <c r="H68" i="4"/>
  <c r="G68" i="4"/>
  <c r="E68" i="4"/>
  <c r="B68" i="4"/>
  <c r="H67" i="4"/>
  <c r="G67" i="4"/>
  <c r="E67" i="4"/>
  <c r="B67" i="4"/>
  <c r="H66" i="4"/>
  <c r="G66" i="4"/>
  <c r="E66" i="4"/>
  <c r="B66" i="4"/>
  <c r="H65" i="4"/>
  <c r="G65" i="4"/>
  <c r="E65" i="4"/>
  <c r="B65" i="4"/>
  <c r="H64" i="4"/>
  <c r="G64" i="4"/>
  <c r="E64" i="4"/>
  <c r="B64" i="4"/>
  <c r="H63" i="4"/>
  <c r="G63" i="4"/>
  <c r="E63" i="4"/>
  <c r="B63" i="4"/>
  <c r="H62" i="4"/>
  <c r="G62" i="4"/>
  <c r="E62" i="4"/>
  <c r="B62" i="4"/>
  <c r="H61" i="4"/>
  <c r="G61" i="4"/>
  <c r="E61" i="4"/>
  <c r="B61" i="4"/>
  <c r="H60" i="4"/>
  <c r="G60" i="4"/>
  <c r="E60" i="4"/>
  <c r="B60" i="4"/>
  <c r="H59" i="4"/>
  <c r="G59" i="4"/>
  <c r="E59" i="4"/>
  <c r="B59" i="4"/>
  <c r="H58" i="4"/>
  <c r="G58" i="4"/>
  <c r="E58" i="4"/>
  <c r="B58" i="4"/>
  <c r="H57" i="4"/>
  <c r="G57" i="4"/>
  <c r="E57" i="4"/>
  <c r="B57" i="4"/>
  <c r="H56" i="4"/>
  <c r="G56" i="4"/>
  <c r="E56" i="4"/>
  <c r="B56" i="4"/>
  <c r="H55" i="4"/>
  <c r="G55" i="4"/>
  <c r="E55" i="4"/>
  <c r="B55" i="4"/>
  <c r="H54" i="4"/>
  <c r="G54" i="4"/>
  <c r="E54" i="4"/>
  <c r="B54" i="4"/>
  <c r="H53" i="4"/>
  <c r="G53" i="4"/>
  <c r="E53" i="4"/>
  <c r="B53" i="4"/>
  <c r="H52" i="4"/>
  <c r="G52" i="4"/>
  <c r="E52" i="4"/>
  <c r="B52" i="4"/>
  <c r="H51" i="4"/>
  <c r="G51" i="4"/>
  <c r="E51" i="4"/>
  <c r="B51" i="4"/>
  <c r="H50" i="4"/>
  <c r="G50" i="4"/>
  <c r="E50" i="4"/>
  <c r="B50" i="4"/>
  <c r="H49" i="4"/>
  <c r="G49" i="4"/>
  <c r="E49" i="4"/>
  <c r="B49" i="4"/>
  <c r="H48" i="4"/>
  <c r="G48" i="4"/>
  <c r="E48" i="4"/>
  <c r="B48" i="4"/>
  <c r="H47" i="4"/>
  <c r="G47" i="4"/>
  <c r="E47" i="4"/>
  <c r="B47" i="4"/>
  <c r="H46" i="4"/>
  <c r="G46" i="4"/>
  <c r="E46" i="4"/>
  <c r="B46" i="4"/>
  <c r="H45" i="4"/>
  <c r="G45" i="4"/>
  <c r="E45" i="4"/>
  <c r="B45" i="4"/>
  <c r="H44" i="4"/>
  <c r="G44" i="4"/>
  <c r="E44" i="4"/>
  <c r="B44" i="4"/>
  <c r="H43" i="4"/>
  <c r="G43" i="4"/>
  <c r="E43" i="4"/>
  <c r="B43" i="4"/>
  <c r="H42" i="4"/>
  <c r="G42" i="4"/>
  <c r="E42" i="4"/>
  <c r="B42" i="4"/>
  <c r="H41" i="4"/>
  <c r="G41" i="4"/>
  <c r="E41" i="4"/>
  <c r="B41" i="4"/>
  <c r="H40" i="4"/>
  <c r="G40" i="4"/>
  <c r="E40" i="4"/>
  <c r="B40" i="4"/>
  <c r="H39" i="4"/>
  <c r="G39" i="4"/>
  <c r="E39" i="4"/>
  <c r="B39" i="4"/>
  <c r="H38" i="4"/>
  <c r="G38" i="4"/>
  <c r="E38" i="4"/>
  <c r="B38" i="4"/>
  <c r="H37" i="4"/>
  <c r="G37" i="4"/>
  <c r="E37" i="4"/>
  <c r="B37" i="4"/>
  <c r="H36" i="4"/>
  <c r="G36" i="4"/>
  <c r="E36" i="4"/>
  <c r="B36" i="4"/>
  <c r="H35" i="4"/>
  <c r="G35" i="4"/>
  <c r="E35" i="4"/>
  <c r="B35" i="4"/>
  <c r="H34" i="4"/>
  <c r="G34" i="4"/>
  <c r="E34" i="4"/>
  <c r="B34" i="4"/>
  <c r="H33" i="4"/>
  <c r="G33" i="4"/>
  <c r="E33" i="4"/>
  <c r="B33" i="4"/>
  <c r="H32" i="4"/>
  <c r="G32" i="4"/>
  <c r="E32" i="4"/>
  <c r="B32" i="4"/>
  <c r="H31" i="4"/>
  <c r="G31" i="4"/>
  <c r="E31" i="4"/>
  <c r="B31" i="4"/>
  <c r="H30" i="4"/>
  <c r="G30" i="4"/>
  <c r="E30" i="4"/>
  <c r="B30" i="4"/>
  <c r="H29" i="4"/>
  <c r="G29" i="4"/>
  <c r="E29" i="4"/>
  <c r="B29" i="4"/>
  <c r="H28" i="4"/>
  <c r="G28" i="4"/>
  <c r="E28" i="4"/>
  <c r="B28" i="4"/>
  <c r="H27" i="4"/>
  <c r="G27" i="4"/>
  <c r="E27" i="4"/>
  <c r="B27" i="4"/>
  <c r="H26" i="4"/>
  <c r="G26" i="4"/>
  <c r="E26" i="4"/>
  <c r="B26" i="4"/>
  <c r="H25" i="4"/>
  <c r="G25" i="4"/>
  <c r="E25" i="4"/>
  <c r="B25" i="4"/>
  <c r="H24" i="4"/>
  <c r="G24" i="4"/>
  <c r="E24" i="4"/>
  <c r="B24" i="4"/>
  <c r="H23" i="4"/>
  <c r="G23" i="4"/>
  <c r="E23" i="4"/>
  <c r="B23" i="4"/>
  <c r="H22" i="4"/>
  <c r="G22" i="4"/>
  <c r="E22" i="4"/>
  <c r="B22" i="4"/>
  <c r="H21" i="4"/>
  <c r="G21" i="4"/>
  <c r="E21" i="4"/>
  <c r="B21" i="4"/>
  <c r="H20" i="4"/>
  <c r="G20" i="4"/>
  <c r="E20" i="4"/>
  <c r="B20" i="4"/>
  <c r="H19" i="4"/>
  <c r="G19" i="4"/>
  <c r="E19" i="4"/>
  <c r="B19" i="4"/>
  <c r="H18" i="4"/>
  <c r="G18" i="4"/>
  <c r="E18" i="4"/>
  <c r="B18" i="4"/>
  <c r="H17" i="4"/>
  <c r="G17" i="4"/>
  <c r="E17" i="4"/>
  <c r="B17" i="4"/>
  <c r="H16" i="4"/>
  <c r="G16" i="4"/>
  <c r="E16" i="4"/>
  <c r="B16" i="4"/>
  <c r="H15" i="4"/>
  <c r="G15" i="4"/>
  <c r="E15" i="4"/>
  <c r="B15" i="4"/>
  <c r="H14" i="4"/>
  <c r="G14" i="4"/>
  <c r="E14" i="4"/>
  <c r="B14" i="4"/>
  <c r="H13" i="4"/>
  <c r="G13" i="4"/>
  <c r="E13" i="4"/>
  <c r="B13" i="4"/>
  <c r="H12" i="4"/>
  <c r="G12" i="4"/>
  <c r="E12" i="4"/>
  <c r="B12" i="4"/>
  <c r="H11" i="4"/>
  <c r="G11" i="4"/>
  <c r="E11" i="4"/>
  <c r="B11" i="4"/>
  <c r="H10" i="4"/>
  <c r="G10" i="4"/>
  <c r="E10" i="4"/>
  <c r="B10" i="4"/>
  <c r="H9" i="4"/>
  <c r="G9" i="4"/>
  <c r="E9" i="4"/>
  <c r="B9" i="4"/>
  <c r="H8" i="4"/>
  <c r="G8" i="4"/>
  <c r="E8" i="4"/>
  <c r="B8" i="4"/>
  <c r="H7" i="4"/>
  <c r="G7" i="4"/>
  <c r="E7" i="4"/>
  <c r="B7" i="4"/>
  <c r="H6" i="4"/>
  <c r="G6" i="4"/>
  <c r="E6" i="4"/>
  <c r="B6" i="4"/>
  <c r="H5" i="4"/>
  <c r="G5" i="4"/>
  <c r="E5" i="4"/>
  <c r="B5" i="4"/>
  <c r="H4" i="4"/>
  <c r="G4" i="4"/>
  <c r="E4" i="4"/>
  <c r="B4" i="4"/>
  <c r="H3" i="4"/>
  <c r="G3" i="4"/>
  <c r="E3" i="4"/>
  <c r="B3" i="4"/>
  <c r="H2" i="4"/>
  <c r="G2" i="4"/>
  <c r="E2" i="4"/>
  <c r="B2" i="4"/>
  <c r="S501" i="3"/>
  <c r="M501" i="3"/>
  <c r="L501" i="3"/>
  <c r="K501" i="3"/>
  <c r="N501" i="3" s="1"/>
  <c r="I501" i="3"/>
  <c r="J501" i="3" s="1"/>
  <c r="F501" i="3"/>
  <c r="B501" i="3"/>
  <c r="S500" i="3"/>
  <c r="M500" i="3"/>
  <c r="L500" i="3"/>
  <c r="K500" i="3"/>
  <c r="N500" i="3" s="1"/>
  <c r="I500" i="3"/>
  <c r="J500" i="3" s="1"/>
  <c r="F500" i="3"/>
  <c r="B500" i="3"/>
  <c r="S499" i="3"/>
  <c r="M499" i="3"/>
  <c r="L499" i="3"/>
  <c r="K499" i="3"/>
  <c r="N499" i="3" s="1"/>
  <c r="I499" i="3"/>
  <c r="J499" i="3" s="1"/>
  <c r="F499" i="3"/>
  <c r="B499" i="3"/>
  <c r="S498" i="3"/>
  <c r="M498" i="3"/>
  <c r="L498" i="3"/>
  <c r="K498" i="3"/>
  <c r="N498" i="3" s="1"/>
  <c r="I498" i="3"/>
  <c r="J498" i="3" s="1"/>
  <c r="F498" i="3"/>
  <c r="B498" i="3"/>
  <c r="S497" i="3"/>
  <c r="M497" i="3"/>
  <c r="L497" i="3"/>
  <c r="K497" i="3"/>
  <c r="N497" i="3" s="1"/>
  <c r="I497" i="3"/>
  <c r="J497" i="3" s="1"/>
  <c r="F497" i="3"/>
  <c r="B497" i="3"/>
  <c r="S496" i="3"/>
  <c r="M496" i="3"/>
  <c r="L496" i="3"/>
  <c r="K496" i="3"/>
  <c r="N496" i="3" s="1"/>
  <c r="I496" i="3"/>
  <c r="J496" i="3" s="1"/>
  <c r="F496" i="3"/>
  <c r="B496" i="3"/>
  <c r="S495" i="3"/>
  <c r="M495" i="3"/>
  <c r="L495" i="3"/>
  <c r="K495" i="3"/>
  <c r="N495" i="3" s="1"/>
  <c r="I495" i="3"/>
  <c r="J495" i="3" s="1"/>
  <c r="F495" i="3"/>
  <c r="B495" i="3"/>
  <c r="S494" i="3"/>
  <c r="M494" i="3"/>
  <c r="L494" i="3"/>
  <c r="K494" i="3"/>
  <c r="N494" i="3" s="1"/>
  <c r="I494" i="3"/>
  <c r="J494" i="3" s="1"/>
  <c r="F494" i="3"/>
  <c r="B494" i="3"/>
  <c r="S493" i="3"/>
  <c r="M493" i="3"/>
  <c r="L493" i="3"/>
  <c r="K493" i="3"/>
  <c r="N493" i="3" s="1"/>
  <c r="I493" i="3"/>
  <c r="J493" i="3" s="1"/>
  <c r="F493" i="3"/>
  <c r="B493" i="3"/>
  <c r="S492" i="3"/>
  <c r="M492" i="3"/>
  <c r="L492" i="3"/>
  <c r="K492" i="3"/>
  <c r="N492" i="3" s="1"/>
  <c r="I492" i="3"/>
  <c r="J492" i="3" s="1"/>
  <c r="F492" i="3"/>
  <c r="B492" i="3"/>
  <c r="S491" i="3"/>
  <c r="M491" i="3"/>
  <c r="L491" i="3"/>
  <c r="K491" i="3"/>
  <c r="N491" i="3" s="1"/>
  <c r="I491" i="3"/>
  <c r="J491" i="3" s="1"/>
  <c r="F491" i="3"/>
  <c r="B491" i="3"/>
  <c r="S490" i="3"/>
  <c r="M490" i="3"/>
  <c r="L490" i="3"/>
  <c r="K490" i="3"/>
  <c r="N490" i="3" s="1"/>
  <c r="I490" i="3"/>
  <c r="J490" i="3" s="1"/>
  <c r="F490" i="3"/>
  <c r="B490" i="3"/>
  <c r="S489" i="3"/>
  <c r="M489" i="3"/>
  <c r="L489" i="3"/>
  <c r="K489" i="3"/>
  <c r="N489" i="3" s="1"/>
  <c r="I489" i="3"/>
  <c r="J489" i="3" s="1"/>
  <c r="F489" i="3"/>
  <c r="B489" i="3"/>
  <c r="S488" i="3"/>
  <c r="M488" i="3"/>
  <c r="L488" i="3"/>
  <c r="K488" i="3"/>
  <c r="N488" i="3" s="1"/>
  <c r="I488" i="3"/>
  <c r="J488" i="3" s="1"/>
  <c r="F488" i="3"/>
  <c r="B488" i="3"/>
  <c r="S487" i="3"/>
  <c r="M487" i="3"/>
  <c r="L487" i="3"/>
  <c r="K487" i="3"/>
  <c r="N487" i="3" s="1"/>
  <c r="I487" i="3"/>
  <c r="J487" i="3" s="1"/>
  <c r="F487" i="3"/>
  <c r="B487" i="3"/>
  <c r="S486" i="3"/>
  <c r="M486" i="3"/>
  <c r="L486" i="3"/>
  <c r="K486" i="3"/>
  <c r="N486" i="3" s="1"/>
  <c r="I486" i="3"/>
  <c r="J486" i="3" s="1"/>
  <c r="F486" i="3"/>
  <c r="B486" i="3"/>
  <c r="S485" i="3"/>
  <c r="M485" i="3"/>
  <c r="L485" i="3"/>
  <c r="K485" i="3"/>
  <c r="N485" i="3" s="1"/>
  <c r="I485" i="3"/>
  <c r="J485" i="3" s="1"/>
  <c r="F485" i="3"/>
  <c r="B485" i="3"/>
  <c r="S484" i="3"/>
  <c r="M484" i="3"/>
  <c r="L484" i="3"/>
  <c r="K484" i="3"/>
  <c r="N484" i="3" s="1"/>
  <c r="I484" i="3"/>
  <c r="J484" i="3" s="1"/>
  <c r="F484" i="3"/>
  <c r="B484" i="3"/>
  <c r="S483" i="3"/>
  <c r="M483" i="3"/>
  <c r="L483" i="3"/>
  <c r="K483" i="3"/>
  <c r="N483" i="3" s="1"/>
  <c r="I483" i="3"/>
  <c r="J483" i="3" s="1"/>
  <c r="F483" i="3"/>
  <c r="B483" i="3"/>
  <c r="S482" i="3"/>
  <c r="M482" i="3"/>
  <c r="L482" i="3"/>
  <c r="K482" i="3"/>
  <c r="N482" i="3" s="1"/>
  <c r="I482" i="3"/>
  <c r="J482" i="3" s="1"/>
  <c r="F482" i="3"/>
  <c r="B482" i="3"/>
  <c r="S481" i="3"/>
  <c r="M481" i="3"/>
  <c r="L481" i="3"/>
  <c r="K481" i="3"/>
  <c r="N481" i="3" s="1"/>
  <c r="I481" i="3"/>
  <c r="J481" i="3" s="1"/>
  <c r="F481" i="3"/>
  <c r="B481" i="3"/>
  <c r="S480" i="3"/>
  <c r="M480" i="3"/>
  <c r="L480" i="3"/>
  <c r="K480" i="3"/>
  <c r="N480" i="3" s="1"/>
  <c r="I480" i="3"/>
  <c r="J480" i="3" s="1"/>
  <c r="F480" i="3"/>
  <c r="B480" i="3"/>
  <c r="S479" i="3"/>
  <c r="M479" i="3"/>
  <c r="L479" i="3"/>
  <c r="K479" i="3"/>
  <c r="N479" i="3" s="1"/>
  <c r="I479" i="3"/>
  <c r="J479" i="3" s="1"/>
  <c r="F479" i="3"/>
  <c r="B479" i="3"/>
  <c r="S478" i="3"/>
  <c r="M478" i="3"/>
  <c r="L478" i="3"/>
  <c r="K478" i="3"/>
  <c r="N478" i="3" s="1"/>
  <c r="I478" i="3"/>
  <c r="J478" i="3" s="1"/>
  <c r="F478" i="3"/>
  <c r="B478" i="3"/>
  <c r="S477" i="3"/>
  <c r="M477" i="3"/>
  <c r="L477" i="3"/>
  <c r="K477" i="3"/>
  <c r="N477" i="3" s="1"/>
  <c r="I477" i="3"/>
  <c r="J477" i="3" s="1"/>
  <c r="F477" i="3"/>
  <c r="B477" i="3"/>
  <c r="S476" i="3"/>
  <c r="M476" i="3"/>
  <c r="L476" i="3"/>
  <c r="K476" i="3"/>
  <c r="N476" i="3" s="1"/>
  <c r="I476" i="3"/>
  <c r="J476" i="3" s="1"/>
  <c r="F476" i="3"/>
  <c r="B476" i="3"/>
  <c r="S475" i="3"/>
  <c r="M475" i="3"/>
  <c r="L475" i="3"/>
  <c r="K475" i="3"/>
  <c r="N475" i="3" s="1"/>
  <c r="I475" i="3"/>
  <c r="J475" i="3" s="1"/>
  <c r="F475" i="3"/>
  <c r="B475" i="3"/>
  <c r="S474" i="3"/>
  <c r="M474" i="3"/>
  <c r="L474" i="3"/>
  <c r="K474" i="3"/>
  <c r="N474" i="3" s="1"/>
  <c r="I474" i="3"/>
  <c r="J474" i="3" s="1"/>
  <c r="F474" i="3"/>
  <c r="B474" i="3"/>
  <c r="S473" i="3"/>
  <c r="M473" i="3"/>
  <c r="L473" i="3"/>
  <c r="K473" i="3"/>
  <c r="N473" i="3" s="1"/>
  <c r="I473" i="3"/>
  <c r="J473" i="3" s="1"/>
  <c r="F473" i="3"/>
  <c r="B473" i="3"/>
  <c r="S472" i="3"/>
  <c r="M472" i="3"/>
  <c r="L472" i="3"/>
  <c r="K472" i="3"/>
  <c r="N472" i="3" s="1"/>
  <c r="I472" i="3"/>
  <c r="J472" i="3" s="1"/>
  <c r="F472" i="3"/>
  <c r="B472" i="3"/>
  <c r="S471" i="3"/>
  <c r="M471" i="3"/>
  <c r="L471" i="3"/>
  <c r="K471" i="3"/>
  <c r="N471" i="3" s="1"/>
  <c r="I471" i="3"/>
  <c r="J471" i="3" s="1"/>
  <c r="F471" i="3"/>
  <c r="B471" i="3"/>
  <c r="S470" i="3"/>
  <c r="M470" i="3"/>
  <c r="L470" i="3"/>
  <c r="K470" i="3"/>
  <c r="N470" i="3" s="1"/>
  <c r="I470" i="3"/>
  <c r="J470" i="3" s="1"/>
  <c r="F470" i="3"/>
  <c r="B470" i="3"/>
  <c r="S469" i="3"/>
  <c r="M469" i="3"/>
  <c r="L469" i="3"/>
  <c r="K469" i="3"/>
  <c r="N469" i="3" s="1"/>
  <c r="I469" i="3"/>
  <c r="J469" i="3" s="1"/>
  <c r="F469" i="3"/>
  <c r="B469" i="3"/>
  <c r="S468" i="3"/>
  <c r="M468" i="3"/>
  <c r="L468" i="3"/>
  <c r="K468" i="3"/>
  <c r="N468" i="3" s="1"/>
  <c r="I468" i="3"/>
  <c r="J468" i="3" s="1"/>
  <c r="F468" i="3"/>
  <c r="B468" i="3"/>
  <c r="S467" i="3"/>
  <c r="M467" i="3"/>
  <c r="L467" i="3"/>
  <c r="K467" i="3"/>
  <c r="N467" i="3" s="1"/>
  <c r="I467" i="3"/>
  <c r="J467" i="3" s="1"/>
  <c r="F467" i="3"/>
  <c r="B467" i="3"/>
  <c r="S466" i="3"/>
  <c r="M466" i="3"/>
  <c r="L466" i="3"/>
  <c r="K466" i="3"/>
  <c r="N466" i="3" s="1"/>
  <c r="I466" i="3"/>
  <c r="J466" i="3" s="1"/>
  <c r="F466" i="3"/>
  <c r="B466" i="3"/>
  <c r="S465" i="3"/>
  <c r="M465" i="3"/>
  <c r="L465" i="3"/>
  <c r="K465" i="3"/>
  <c r="N465" i="3" s="1"/>
  <c r="I465" i="3"/>
  <c r="J465" i="3" s="1"/>
  <c r="F465" i="3"/>
  <c r="B465" i="3"/>
  <c r="S464" i="3"/>
  <c r="M464" i="3"/>
  <c r="L464" i="3"/>
  <c r="K464" i="3"/>
  <c r="N464" i="3" s="1"/>
  <c r="I464" i="3"/>
  <c r="J464" i="3" s="1"/>
  <c r="F464" i="3"/>
  <c r="B464" i="3"/>
  <c r="S463" i="3"/>
  <c r="M463" i="3"/>
  <c r="L463" i="3"/>
  <c r="K463" i="3"/>
  <c r="N463" i="3" s="1"/>
  <c r="I463" i="3"/>
  <c r="J463" i="3" s="1"/>
  <c r="F463" i="3"/>
  <c r="B463" i="3"/>
  <c r="S462" i="3"/>
  <c r="M462" i="3"/>
  <c r="L462" i="3"/>
  <c r="K462" i="3"/>
  <c r="N462" i="3" s="1"/>
  <c r="I462" i="3"/>
  <c r="J462" i="3" s="1"/>
  <c r="F462" i="3"/>
  <c r="B462" i="3"/>
  <c r="S461" i="3"/>
  <c r="M461" i="3"/>
  <c r="L461" i="3"/>
  <c r="K461" i="3"/>
  <c r="N461" i="3" s="1"/>
  <c r="I461" i="3"/>
  <c r="J461" i="3" s="1"/>
  <c r="F461" i="3"/>
  <c r="B461" i="3"/>
  <c r="S460" i="3"/>
  <c r="M460" i="3"/>
  <c r="L460" i="3"/>
  <c r="K460" i="3"/>
  <c r="N460" i="3" s="1"/>
  <c r="I460" i="3"/>
  <c r="J460" i="3" s="1"/>
  <c r="F460" i="3"/>
  <c r="B460" i="3"/>
  <c r="S459" i="3"/>
  <c r="M459" i="3"/>
  <c r="L459" i="3"/>
  <c r="K459" i="3"/>
  <c r="N459" i="3" s="1"/>
  <c r="I459" i="3"/>
  <c r="J459" i="3" s="1"/>
  <c r="F459" i="3"/>
  <c r="B459" i="3"/>
  <c r="S458" i="3"/>
  <c r="M458" i="3"/>
  <c r="L458" i="3"/>
  <c r="K458" i="3"/>
  <c r="N458" i="3" s="1"/>
  <c r="I458" i="3"/>
  <c r="J458" i="3" s="1"/>
  <c r="F458" i="3"/>
  <c r="B458" i="3"/>
  <c r="S457" i="3"/>
  <c r="M457" i="3"/>
  <c r="L457" i="3"/>
  <c r="K457" i="3"/>
  <c r="N457" i="3" s="1"/>
  <c r="I457" i="3"/>
  <c r="J457" i="3" s="1"/>
  <c r="F457" i="3"/>
  <c r="B457" i="3"/>
  <c r="S456" i="3"/>
  <c r="M456" i="3"/>
  <c r="L456" i="3"/>
  <c r="K456" i="3"/>
  <c r="N456" i="3" s="1"/>
  <c r="I456" i="3"/>
  <c r="J456" i="3" s="1"/>
  <c r="F456" i="3"/>
  <c r="B456" i="3"/>
  <c r="S455" i="3"/>
  <c r="M455" i="3"/>
  <c r="L455" i="3"/>
  <c r="K455" i="3"/>
  <c r="N455" i="3" s="1"/>
  <c r="I455" i="3"/>
  <c r="J455" i="3" s="1"/>
  <c r="F455" i="3"/>
  <c r="B455" i="3"/>
  <c r="S454" i="3"/>
  <c r="M454" i="3"/>
  <c r="L454" i="3"/>
  <c r="K454" i="3"/>
  <c r="N454" i="3" s="1"/>
  <c r="I454" i="3"/>
  <c r="J454" i="3" s="1"/>
  <c r="F454" i="3"/>
  <c r="B454" i="3"/>
  <c r="S453" i="3"/>
  <c r="M453" i="3"/>
  <c r="L453" i="3"/>
  <c r="K453" i="3"/>
  <c r="N453" i="3" s="1"/>
  <c r="J453" i="3"/>
  <c r="I453" i="3"/>
  <c r="F453" i="3"/>
  <c r="B453" i="3"/>
  <c r="S452" i="3"/>
  <c r="M452" i="3"/>
  <c r="L452" i="3"/>
  <c r="K452" i="3"/>
  <c r="N452" i="3" s="1"/>
  <c r="I452" i="3"/>
  <c r="J452" i="3" s="1"/>
  <c r="F452" i="3"/>
  <c r="B452" i="3"/>
  <c r="S451" i="3"/>
  <c r="M451" i="3"/>
  <c r="L451" i="3"/>
  <c r="K451" i="3"/>
  <c r="N451" i="3" s="1"/>
  <c r="I451" i="3"/>
  <c r="J451" i="3" s="1"/>
  <c r="F451" i="3"/>
  <c r="B451" i="3"/>
  <c r="S450" i="3"/>
  <c r="M450" i="3"/>
  <c r="L450" i="3"/>
  <c r="K450" i="3"/>
  <c r="N450" i="3" s="1"/>
  <c r="I450" i="3"/>
  <c r="J450" i="3" s="1"/>
  <c r="F450" i="3"/>
  <c r="B450" i="3"/>
  <c r="S449" i="3"/>
  <c r="M449" i="3"/>
  <c r="L449" i="3"/>
  <c r="K449" i="3"/>
  <c r="N449" i="3" s="1"/>
  <c r="I449" i="3"/>
  <c r="J449" i="3" s="1"/>
  <c r="F449" i="3"/>
  <c r="B449" i="3"/>
  <c r="S448" i="3"/>
  <c r="M448" i="3"/>
  <c r="L448" i="3"/>
  <c r="K448" i="3"/>
  <c r="N448" i="3" s="1"/>
  <c r="I448" i="3"/>
  <c r="J448" i="3" s="1"/>
  <c r="F448" i="3"/>
  <c r="B448" i="3"/>
  <c r="S447" i="3"/>
  <c r="M447" i="3"/>
  <c r="L447" i="3"/>
  <c r="K447" i="3"/>
  <c r="N447" i="3" s="1"/>
  <c r="I447" i="3"/>
  <c r="J447" i="3" s="1"/>
  <c r="F447" i="3"/>
  <c r="B447" i="3"/>
  <c r="S446" i="3"/>
  <c r="M446" i="3"/>
  <c r="L446" i="3"/>
  <c r="K446" i="3"/>
  <c r="N446" i="3" s="1"/>
  <c r="I446" i="3"/>
  <c r="J446" i="3" s="1"/>
  <c r="F446" i="3"/>
  <c r="B446" i="3"/>
  <c r="S445" i="3"/>
  <c r="M445" i="3"/>
  <c r="L445" i="3"/>
  <c r="K445" i="3"/>
  <c r="N445" i="3" s="1"/>
  <c r="I445" i="3"/>
  <c r="J445" i="3" s="1"/>
  <c r="F445" i="3"/>
  <c r="B445" i="3"/>
  <c r="S444" i="3"/>
  <c r="M444" i="3"/>
  <c r="L444" i="3"/>
  <c r="K444" i="3"/>
  <c r="N444" i="3" s="1"/>
  <c r="I444" i="3"/>
  <c r="J444" i="3" s="1"/>
  <c r="F444" i="3"/>
  <c r="B444" i="3"/>
  <c r="S443" i="3"/>
  <c r="M443" i="3"/>
  <c r="L443" i="3"/>
  <c r="K443" i="3"/>
  <c r="N443" i="3" s="1"/>
  <c r="I443" i="3"/>
  <c r="J443" i="3" s="1"/>
  <c r="F443" i="3"/>
  <c r="B443" i="3"/>
  <c r="S442" i="3"/>
  <c r="M442" i="3"/>
  <c r="L442" i="3"/>
  <c r="K442" i="3"/>
  <c r="N442" i="3" s="1"/>
  <c r="I442" i="3"/>
  <c r="J442" i="3" s="1"/>
  <c r="F442" i="3"/>
  <c r="B442" i="3"/>
  <c r="S441" i="3"/>
  <c r="M441" i="3"/>
  <c r="L441" i="3"/>
  <c r="K441" i="3"/>
  <c r="N441" i="3" s="1"/>
  <c r="I441" i="3"/>
  <c r="J441" i="3" s="1"/>
  <c r="F441" i="3"/>
  <c r="B441" i="3"/>
  <c r="S440" i="3"/>
  <c r="N440" i="3"/>
  <c r="M440" i="3"/>
  <c r="L440" i="3"/>
  <c r="K440" i="3"/>
  <c r="I440" i="3"/>
  <c r="J440" i="3" s="1"/>
  <c r="F440" i="3"/>
  <c r="B440" i="3"/>
  <c r="S439" i="3"/>
  <c r="M439" i="3"/>
  <c r="L439" i="3"/>
  <c r="K439" i="3"/>
  <c r="N439" i="3" s="1"/>
  <c r="I439" i="3"/>
  <c r="J439" i="3" s="1"/>
  <c r="F439" i="3"/>
  <c r="B439" i="3"/>
  <c r="S438" i="3"/>
  <c r="M438" i="3"/>
  <c r="L438" i="3"/>
  <c r="K438" i="3"/>
  <c r="N438" i="3" s="1"/>
  <c r="I438" i="3"/>
  <c r="J438" i="3" s="1"/>
  <c r="F438" i="3"/>
  <c r="B438" i="3"/>
  <c r="S437" i="3"/>
  <c r="M437" i="3"/>
  <c r="L437" i="3"/>
  <c r="K437" i="3"/>
  <c r="N437" i="3" s="1"/>
  <c r="I437" i="3"/>
  <c r="J437" i="3" s="1"/>
  <c r="F437" i="3"/>
  <c r="B437" i="3"/>
  <c r="S436" i="3"/>
  <c r="M436" i="3"/>
  <c r="L436" i="3"/>
  <c r="K436" i="3"/>
  <c r="N436" i="3" s="1"/>
  <c r="I436" i="3"/>
  <c r="J436" i="3" s="1"/>
  <c r="F436" i="3"/>
  <c r="B436" i="3"/>
  <c r="S435" i="3"/>
  <c r="M435" i="3"/>
  <c r="L435" i="3"/>
  <c r="K435" i="3"/>
  <c r="N435" i="3" s="1"/>
  <c r="I435" i="3"/>
  <c r="J435" i="3" s="1"/>
  <c r="F435" i="3"/>
  <c r="B435" i="3"/>
  <c r="S434" i="3"/>
  <c r="M434" i="3"/>
  <c r="L434" i="3"/>
  <c r="K434" i="3"/>
  <c r="N434" i="3" s="1"/>
  <c r="I434" i="3"/>
  <c r="J434" i="3" s="1"/>
  <c r="F434" i="3"/>
  <c r="B434" i="3"/>
  <c r="S433" i="3"/>
  <c r="M433" i="3"/>
  <c r="L433" i="3"/>
  <c r="K433" i="3"/>
  <c r="N433" i="3" s="1"/>
  <c r="I433" i="3"/>
  <c r="J433" i="3" s="1"/>
  <c r="F433" i="3"/>
  <c r="B433" i="3"/>
  <c r="S432" i="3"/>
  <c r="M432" i="3"/>
  <c r="L432" i="3"/>
  <c r="K432" i="3"/>
  <c r="N432" i="3" s="1"/>
  <c r="I432" i="3"/>
  <c r="J432" i="3" s="1"/>
  <c r="F432" i="3"/>
  <c r="B432" i="3"/>
  <c r="S431" i="3"/>
  <c r="M431" i="3"/>
  <c r="L431" i="3"/>
  <c r="K431" i="3"/>
  <c r="N431" i="3" s="1"/>
  <c r="I431" i="3"/>
  <c r="J431" i="3" s="1"/>
  <c r="F431" i="3"/>
  <c r="B431" i="3"/>
  <c r="S430" i="3"/>
  <c r="M430" i="3"/>
  <c r="L430" i="3"/>
  <c r="K430" i="3"/>
  <c r="N430" i="3" s="1"/>
  <c r="I430" i="3"/>
  <c r="J430" i="3" s="1"/>
  <c r="F430" i="3"/>
  <c r="B430" i="3"/>
  <c r="S429" i="3"/>
  <c r="M429" i="3"/>
  <c r="L429" i="3"/>
  <c r="K429" i="3"/>
  <c r="N429" i="3" s="1"/>
  <c r="I429" i="3"/>
  <c r="J429" i="3" s="1"/>
  <c r="F429" i="3"/>
  <c r="B429" i="3"/>
  <c r="S428" i="3"/>
  <c r="M428" i="3"/>
  <c r="L428" i="3"/>
  <c r="K428" i="3"/>
  <c r="N428" i="3" s="1"/>
  <c r="I428" i="3"/>
  <c r="J428" i="3" s="1"/>
  <c r="F428" i="3"/>
  <c r="B428" i="3"/>
  <c r="S427" i="3"/>
  <c r="M427" i="3"/>
  <c r="L427" i="3"/>
  <c r="K427" i="3"/>
  <c r="N427" i="3" s="1"/>
  <c r="I427" i="3"/>
  <c r="J427" i="3" s="1"/>
  <c r="F427" i="3"/>
  <c r="B427" i="3"/>
  <c r="S426" i="3"/>
  <c r="M426" i="3"/>
  <c r="L426" i="3"/>
  <c r="K426" i="3"/>
  <c r="N426" i="3" s="1"/>
  <c r="I426" i="3"/>
  <c r="J426" i="3" s="1"/>
  <c r="F426" i="3"/>
  <c r="B426" i="3"/>
  <c r="S425" i="3"/>
  <c r="M425" i="3"/>
  <c r="L425" i="3"/>
  <c r="K425" i="3"/>
  <c r="N425" i="3" s="1"/>
  <c r="I425" i="3"/>
  <c r="J425" i="3" s="1"/>
  <c r="F425" i="3"/>
  <c r="B425" i="3"/>
  <c r="S424" i="3"/>
  <c r="M424" i="3"/>
  <c r="L424" i="3"/>
  <c r="K424" i="3"/>
  <c r="N424" i="3" s="1"/>
  <c r="I424" i="3"/>
  <c r="J424" i="3" s="1"/>
  <c r="F424" i="3"/>
  <c r="B424" i="3"/>
  <c r="S423" i="3"/>
  <c r="M423" i="3"/>
  <c r="L423" i="3"/>
  <c r="K423" i="3"/>
  <c r="N423" i="3" s="1"/>
  <c r="I423" i="3"/>
  <c r="J423" i="3" s="1"/>
  <c r="F423" i="3"/>
  <c r="B423" i="3"/>
  <c r="S422" i="3"/>
  <c r="M422" i="3"/>
  <c r="L422" i="3"/>
  <c r="K422" i="3"/>
  <c r="N422" i="3" s="1"/>
  <c r="I422" i="3"/>
  <c r="J422" i="3" s="1"/>
  <c r="F422" i="3"/>
  <c r="B422" i="3"/>
  <c r="S421" i="3"/>
  <c r="M421" i="3"/>
  <c r="L421" i="3"/>
  <c r="K421" i="3"/>
  <c r="N421" i="3" s="1"/>
  <c r="I421" i="3"/>
  <c r="J421" i="3" s="1"/>
  <c r="F421" i="3"/>
  <c r="B421" i="3"/>
  <c r="S420" i="3"/>
  <c r="M420" i="3"/>
  <c r="L420" i="3"/>
  <c r="K420" i="3"/>
  <c r="N420" i="3" s="1"/>
  <c r="I420" i="3"/>
  <c r="J420" i="3" s="1"/>
  <c r="F420" i="3"/>
  <c r="B420" i="3"/>
  <c r="S419" i="3"/>
  <c r="M419" i="3"/>
  <c r="L419" i="3"/>
  <c r="K419" i="3"/>
  <c r="N419" i="3" s="1"/>
  <c r="I419" i="3"/>
  <c r="J419" i="3" s="1"/>
  <c r="F419" i="3"/>
  <c r="B419" i="3"/>
  <c r="S418" i="3"/>
  <c r="M418" i="3"/>
  <c r="L418" i="3"/>
  <c r="K418" i="3"/>
  <c r="N418" i="3" s="1"/>
  <c r="I418" i="3"/>
  <c r="J418" i="3" s="1"/>
  <c r="F418" i="3"/>
  <c r="B418" i="3"/>
  <c r="S417" i="3"/>
  <c r="M417" i="3"/>
  <c r="L417" i="3"/>
  <c r="K417" i="3"/>
  <c r="N417" i="3" s="1"/>
  <c r="I417" i="3"/>
  <c r="J417" i="3" s="1"/>
  <c r="F417" i="3"/>
  <c r="B417" i="3"/>
  <c r="S416" i="3"/>
  <c r="M416" i="3"/>
  <c r="L416" i="3"/>
  <c r="K416" i="3"/>
  <c r="N416" i="3" s="1"/>
  <c r="I416" i="3"/>
  <c r="J416" i="3" s="1"/>
  <c r="F416" i="3"/>
  <c r="B416" i="3"/>
  <c r="S415" i="3"/>
  <c r="M415" i="3"/>
  <c r="L415" i="3"/>
  <c r="K415" i="3"/>
  <c r="N415" i="3" s="1"/>
  <c r="I415" i="3"/>
  <c r="J415" i="3" s="1"/>
  <c r="F415" i="3"/>
  <c r="B415" i="3"/>
  <c r="S414" i="3"/>
  <c r="M414" i="3"/>
  <c r="L414" i="3"/>
  <c r="K414" i="3"/>
  <c r="N414" i="3" s="1"/>
  <c r="I414" i="3"/>
  <c r="J414" i="3" s="1"/>
  <c r="F414" i="3"/>
  <c r="B414" i="3"/>
  <c r="S413" i="3"/>
  <c r="M413" i="3"/>
  <c r="L413" i="3"/>
  <c r="K413" i="3"/>
  <c r="N413" i="3" s="1"/>
  <c r="I413" i="3"/>
  <c r="J413" i="3" s="1"/>
  <c r="F413" i="3"/>
  <c r="B413" i="3"/>
  <c r="S412" i="3"/>
  <c r="M412" i="3"/>
  <c r="L412" i="3"/>
  <c r="K412" i="3"/>
  <c r="N412" i="3" s="1"/>
  <c r="I412" i="3"/>
  <c r="J412" i="3" s="1"/>
  <c r="F412" i="3"/>
  <c r="B412" i="3"/>
  <c r="S411" i="3"/>
  <c r="M411" i="3"/>
  <c r="L411" i="3"/>
  <c r="K411" i="3"/>
  <c r="N411" i="3" s="1"/>
  <c r="I411" i="3"/>
  <c r="J411" i="3" s="1"/>
  <c r="F411" i="3"/>
  <c r="B411" i="3"/>
  <c r="S410" i="3"/>
  <c r="M410" i="3"/>
  <c r="L410" i="3"/>
  <c r="K410" i="3"/>
  <c r="N410" i="3" s="1"/>
  <c r="I410" i="3"/>
  <c r="J410" i="3" s="1"/>
  <c r="F410" i="3"/>
  <c r="B410" i="3"/>
  <c r="S409" i="3"/>
  <c r="M409" i="3"/>
  <c r="L409" i="3"/>
  <c r="K409" i="3"/>
  <c r="N409" i="3" s="1"/>
  <c r="I409" i="3"/>
  <c r="J409" i="3" s="1"/>
  <c r="F409" i="3"/>
  <c r="B409" i="3"/>
  <c r="S408" i="3"/>
  <c r="M408" i="3"/>
  <c r="L408" i="3"/>
  <c r="K408" i="3"/>
  <c r="N408" i="3" s="1"/>
  <c r="I408" i="3"/>
  <c r="J408" i="3" s="1"/>
  <c r="F408" i="3"/>
  <c r="B408" i="3"/>
  <c r="S407" i="3"/>
  <c r="M407" i="3"/>
  <c r="L407" i="3"/>
  <c r="K407" i="3"/>
  <c r="N407" i="3" s="1"/>
  <c r="I407" i="3"/>
  <c r="J407" i="3" s="1"/>
  <c r="F407" i="3"/>
  <c r="B407" i="3"/>
  <c r="S406" i="3"/>
  <c r="M406" i="3"/>
  <c r="L406" i="3"/>
  <c r="K406" i="3"/>
  <c r="N406" i="3" s="1"/>
  <c r="I406" i="3"/>
  <c r="J406" i="3" s="1"/>
  <c r="F406" i="3"/>
  <c r="B406" i="3"/>
  <c r="S405" i="3"/>
  <c r="M405" i="3"/>
  <c r="L405" i="3"/>
  <c r="K405" i="3"/>
  <c r="N405" i="3" s="1"/>
  <c r="I405" i="3"/>
  <c r="J405" i="3" s="1"/>
  <c r="F405" i="3"/>
  <c r="B405" i="3"/>
  <c r="S404" i="3"/>
  <c r="M404" i="3"/>
  <c r="L404" i="3"/>
  <c r="K404" i="3"/>
  <c r="N404" i="3" s="1"/>
  <c r="I404" i="3"/>
  <c r="J404" i="3" s="1"/>
  <c r="F404" i="3"/>
  <c r="B404" i="3"/>
  <c r="S403" i="3"/>
  <c r="M403" i="3"/>
  <c r="L403" i="3"/>
  <c r="K403" i="3"/>
  <c r="N403" i="3" s="1"/>
  <c r="I403" i="3"/>
  <c r="J403" i="3" s="1"/>
  <c r="F403" i="3"/>
  <c r="B403" i="3"/>
  <c r="S402" i="3"/>
  <c r="M402" i="3"/>
  <c r="L402" i="3"/>
  <c r="K402" i="3"/>
  <c r="N402" i="3" s="1"/>
  <c r="I402" i="3"/>
  <c r="J402" i="3" s="1"/>
  <c r="F402" i="3"/>
  <c r="B402" i="3"/>
  <c r="S401" i="3"/>
  <c r="M401" i="3"/>
  <c r="L401" i="3"/>
  <c r="K401" i="3"/>
  <c r="N401" i="3" s="1"/>
  <c r="I401" i="3"/>
  <c r="J401" i="3" s="1"/>
  <c r="F401" i="3"/>
  <c r="B401" i="3"/>
  <c r="S400" i="3"/>
  <c r="M400" i="3"/>
  <c r="L400" i="3"/>
  <c r="K400" i="3"/>
  <c r="N400" i="3" s="1"/>
  <c r="I400" i="3"/>
  <c r="J400" i="3" s="1"/>
  <c r="F400" i="3"/>
  <c r="B400" i="3"/>
  <c r="S399" i="3"/>
  <c r="M399" i="3"/>
  <c r="L399" i="3"/>
  <c r="K399" i="3"/>
  <c r="N399" i="3" s="1"/>
  <c r="I399" i="3"/>
  <c r="J399" i="3" s="1"/>
  <c r="F399" i="3"/>
  <c r="B399" i="3"/>
  <c r="S398" i="3"/>
  <c r="M398" i="3"/>
  <c r="L398" i="3"/>
  <c r="K398" i="3"/>
  <c r="N398" i="3" s="1"/>
  <c r="I398" i="3"/>
  <c r="J398" i="3" s="1"/>
  <c r="F398" i="3"/>
  <c r="B398" i="3"/>
  <c r="S397" i="3"/>
  <c r="M397" i="3"/>
  <c r="L397" i="3"/>
  <c r="K397" i="3"/>
  <c r="N397" i="3" s="1"/>
  <c r="I397" i="3"/>
  <c r="J397" i="3" s="1"/>
  <c r="F397" i="3"/>
  <c r="B397" i="3"/>
  <c r="S396" i="3"/>
  <c r="M396" i="3"/>
  <c r="L396" i="3"/>
  <c r="K396" i="3"/>
  <c r="N396" i="3" s="1"/>
  <c r="I396" i="3"/>
  <c r="J396" i="3" s="1"/>
  <c r="F396" i="3"/>
  <c r="B396" i="3"/>
  <c r="S395" i="3"/>
  <c r="M395" i="3"/>
  <c r="L395" i="3"/>
  <c r="K395" i="3"/>
  <c r="N395" i="3" s="1"/>
  <c r="I395" i="3"/>
  <c r="J395" i="3" s="1"/>
  <c r="F395" i="3"/>
  <c r="B395" i="3"/>
  <c r="S394" i="3"/>
  <c r="M394" i="3"/>
  <c r="L394" i="3"/>
  <c r="K394" i="3"/>
  <c r="N394" i="3" s="1"/>
  <c r="I394" i="3"/>
  <c r="J394" i="3" s="1"/>
  <c r="F394" i="3"/>
  <c r="B394" i="3"/>
  <c r="S393" i="3"/>
  <c r="M393" i="3"/>
  <c r="L393" i="3"/>
  <c r="K393" i="3"/>
  <c r="N393" i="3" s="1"/>
  <c r="I393" i="3"/>
  <c r="J393" i="3" s="1"/>
  <c r="F393" i="3"/>
  <c r="B393" i="3"/>
  <c r="S392" i="3"/>
  <c r="M392" i="3"/>
  <c r="L392" i="3"/>
  <c r="K392" i="3"/>
  <c r="N392" i="3" s="1"/>
  <c r="I392" i="3"/>
  <c r="J392" i="3" s="1"/>
  <c r="F392" i="3"/>
  <c r="B392" i="3"/>
  <c r="S391" i="3"/>
  <c r="M391" i="3"/>
  <c r="L391" i="3"/>
  <c r="K391" i="3"/>
  <c r="N391" i="3" s="1"/>
  <c r="I391" i="3"/>
  <c r="J391" i="3" s="1"/>
  <c r="F391" i="3"/>
  <c r="B391" i="3"/>
  <c r="S390" i="3"/>
  <c r="M390" i="3"/>
  <c r="L390" i="3"/>
  <c r="K390" i="3"/>
  <c r="N390" i="3" s="1"/>
  <c r="I390" i="3"/>
  <c r="J390" i="3" s="1"/>
  <c r="F390" i="3"/>
  <c r="B390" i="3"/>
  <c r="S389" i="3"/>
  <c r="M389" i="3"/>
  <c r="L389" i="3"/>
  <c r="K389" i="3"/>
  <c r="N389" i="3" s="1"/>
  <c r="I389" i="3"/>
  <c r="J389" i="3" s="1"/>
  <c r="F389" i="3"/>
  <c r="B389" i="3"/>
  <c r="S388" i="3"/>
  <c r="M388" i="3"/>
  <c r="L388" i="3"/>
  <c r="K388" i="3"/>
  <c r="N388" i="3" s="1"/>
  <c r="I388" i="3"/>
  <c r="J388" i="3" s="1"/>
  <c r="F388" i="3"/>
  <c r="B388" i="3"/>
  <c r="S387" i="3"/>
  <c r="M387" i="3"/>
  <c r="L387" i="3"/>
  <c r="K387" i="3"/>
  <c r="N387" i="3" s="1"/>
  <c r="I387" i="3"/>
  <c r="J387" i="3" s="1"/>
  <c r="F387" i="3"/>
  <c r="B387" i="3"/>
  <c r="S386" i="3"/>
  <c r="M386" i="3"/>
  <c r="L386" i="3"/>
  <c r="K386" i="3"/>
  <c r="N386" i="3" s="1"/>
  <c r="I386" i="3"/>
  <c r="J386" i="3" s="1"/>
  <c r="F386" i="3"/>
  <c r="B386" i="3"/>
  <c r="S385" i="3"/>
  <c r="M385" i="3"/>
  <c r="L385" i="3"/>
  <c r="K385" i="3"/>
  <c r="N385" i="3" s="1"/>
  <c r="I385" i="3"/>
  <c r="J385" i="3" s="1"/>
  <c r="F385" i="3"/>
  <c r="B385" i="3"/>
  <c r="S384" i="3"/>
  <c r="M384" i="3"/>
  <c r="L384" i="3"/>
  <c r="K384" i="3"/>
  <c r="N384" i="3" s="1"/>
  <c r="I384" i="3"/>
  <c r="J384" i="3" s="1"/>
  <c r="F384" i="3"/>
  <c r="B384" i="3"/>
  <c r="S383" i="3"/>
  <c r="M383" i="3"/>
  <c r="L383" i="3"/>
  <c r="K383" i="3"/>
  <c r="N383" i="3" s="1"/>
  <c r="I383" i="3"/>
  <c r="J383" i="3" s="1"/>
  <c r="F383" i="3"/>
  <c r="B383" i="3"/>
  <c r="S382" i="3"/>
  <c r="M382" i="3"/>
  <c r="L382" i="3"/>
  <c r="K382" i="3"/>
  <c r="N382" i="3" s="1"/>
  <c r="I382" i="3"/>
  <c r="J382" i="3" s="1"/>
  <c r="F382" i="3"/>
  <c r="B382" i="3"/>
  <c r="S381" i="3"/>
  <c r="M381" i="3"/>
  <c r="L381" i="3"/>
  <c r="K381" i="3"/>
  <c r="N381" i="3" s="1"/>
  <c r="I381" i="3"/>
  <c r="J381" i="3" s="1"/>
  <c r="F381" i="3"/>
  <c r="B381" i="3"/>
  <c r="S380" i="3"/>
  <c r="M380" i="3"/>
  <c r="L380" i="3"/>
  <c r="K380" i="3"/>
  <c r="N380" i="3" s="1"/>
  <c r="I380" i="3"/>
  <c r="J380" i="3" s="1"/>
  <c r="F380" i="3"/>
  <c r="B380" i="3"/>
  <c r="S379" i="3"/>
  <c r="M379" i="3"/>
  <c r="L379" i="3"/>
  <c r="K379" i="3"/>
  <c r="N379" i="3" s="1"/>
  <c r="I379" i="3"/>
  <c r="J379" i="3" s="1"/>
  <c r="F379" i="3"/>
  <c r="B379" i="3"/>
  <c r="S378" i="3"/>
  <c r="M378" i="3"/>
  <c r="L378" i="3"/>
  <c r="K378" i="3"/>
  <c r="N378" i="3" s="1"/>
  <c r="I378" i="3"/>
  <c r="J378" i="3" s="1"/>
  <c r="F378" i="3"/>
  <c r="B378" i="3"/>
  <c r="S377" i="3"/>
  <c r="M377" i="3"/>
  <c r="L377" i="3"/>
  <c r="K377" i="3"/>
  <c r="N377" i="3" s="1"/>
  <c r="I377" i="3"/>
  <c r="J377" i="3" s="1"/>
  <c r="F377" i="3"/>
  <c r="B377" i="3"/>
  <c r="S376" i="3"/>
  <c r="M376" i="3"/>
  <c r="L376" i="3"/>
  <c r="K376" i="3"/>
  <c r="N376" i="3" s="1"/>
  <c r="I376" i="3"/>
  <c r="J376" i="3" s="1"/>
  <c r="F376" i="3"/>
  <c r="B376" i="3"/>
  <c r="S375" i="3"/>
  <c r="M375" i="3"/>
  <c r="L375" i="3"/>
  <c r="K375" i="3"/>
  <c r="N375" i="3" s="1"/>
  <c r="I375" i="3"/>
  <c r="J375" i="3" s="1"/>
  <c r="F375" i="3"/>
  <c r="B375" i="3"/>
  <c r="S374" i="3"/>
  <c r="M374" i="3"/>
  <c r="L374" i="3"/>
  <c r="K374" i="3"/>
  <c r="N374" i="3" s="1"/>
  <c r="I374" i="3"/>
  <c r="J374" i="3" s="1"/>
  <c r="F374" i="3"/>
  <c r="B374" i="3"/>
  <c r="S373" i="3"/>
  <c r="M373" i="3"/>
  <c r="L373" i="3"/>
  <c r="K373" i="3"/>
  <c r="N373" i="3" s="1"/>
  <c r="I373" i="3"/>
  <c r="J373" i="3" s="1"/>
  <c r="F373" i="3"/>
  <c r="B373" i="3"/>
  <c r="S372" i="3"/>
  <c r="M372" i="3"/>
  <c r="L372" i="3"/>
  <c r="K372" i="3"/>
  <c r="N372" i="3" s="1"/>
  <c r="I372" i="3"/>
  <c r="J372" i="3" s="1"/>
  <c r="F372" i="3"/>
  <c r="B372" i="3"/>
  <c r="S371" i="3"/>
  <c r="M371" i="3"/>
  <c r="L371" i="3"/>
  <c r="K371" i="3"/>
  <c r="N371" i="3" s="1"/>
  <c r="I371" i="3"/>
  <c r="J371" i="3" s="1"/>
  <c r="F371" i="3"/>
  <c r="B371" i="3"/>
  <c r="S370" i="3"/>
  <c r="M370" i="3"/>
  <c r="L370" i="3"/>
  <c r="K370" i="3"/>
  <c r="N370" i="3" s="1"/>
  <c r="I370" i="3"/>
  <c r="J370" i="3" s="1"/>
  <c r="F370" i="3"/>
  <c r="B370" i="3"/>
  <c r="S369" i="3"/>
  <c r="M369" i="3"/>
  <c r="L369" i="3"/>
  <c r="K369" i="3"/>
  <c r="N369" i="3" s="1"/>
  <c r="I369" i="3"/>
  <c r="J369" i="3" s="1"/>
  <c r="F369" i="3"/>
  <c r="B369" i="3"/>
  <c r="S368" i="3"/>
  <c r="M368" i="3"/>
  <c r="L368" i="3"/>
  <c r="K368" i="3"/>
  <c r="N368" i="3" s="1"/>
  <c r="I368" i="3"/>
  <c r="J368" i="3" s="1"/>
  <c r="F368" i="3"/>
  <c r="B368" i="3"/>
  <c r="S367" i="3"/>
  <c r="M367" i="3"/>
  <c r="L367" i="3"/>
  <c r="K367" i="3"/>
  <c r="N367" i="3" s="1"/>
  <c r="I367" i="3"/>
  <c r="J367" i="3" s="1"/>
  <c r="F367" i="3"/>
  <c r="B367" i="3"/>
  <c r="S366" i="3"/>
  <c r="M366" i="3"/>
  <c r="L366" i="3"/>
  <c r="K366" i="3"/>
  <c r="N366" i="3" s="1"/>
  <c r="I366" i="3"/>
  <c r="J366" i="3" s="1"/>
  <c r="F366" i="3"/>
  <c r="B366" i="3"/>
  <c r="S365" i="3"/>
  <c r="M365" i="3"/>
  <c r="L365" i="3"/>
  <c r="K365" i="3"/>
  <c r="N365" i="3" s="1"/>
  <c r="I365" i="3"/>
  <c r="J365" i="3" s="1"/>
  <c r="F365" i="3"/>
  <c r="B365" i="3"/>
  <c r="S364" i="3"/>
  <c r="M364" i="3"/>
  <c r="L364" i="3"/>
  <c r="K364" i="3"/>
  <c r="N364" i="3" s="1"/>
  <c r="I364" i="3"/>
  <c r="J364" i="3" s="1"/>
  <c r="F364" i="3"/>
  <c r="B364" i="3"/>
  <c r="S363" i="3"/>
  <c r="M363" i="3"/>
  <c r="L363" i="3"/>
  <c r="K363" i="3"/>
  <c r="N363" i="3" s="1"/>
  <c r="I363" i="3"/>
  <c r="J363" i="3" s="1"/>
  <c r="F363" i="3"/>
  <c r="B363" i="3"/>
  <c r="S362" i="3"/>
  <c r="M362" i="3"/>
  <c r="L362" i="3"/>
  <c r="K362" i="3"/>
  <c r="N362" i="3" s="1"/>
  <c r="I362" i="3"/>
  <c r="J362" i="3" s="1"/>
  <c r="F362" i="3"/>
  <c r="B362" i="3"/>
  <c r="S361" i="3"/>
  <c r="M361" i="3"/>
  <c r="L361" i="3"/>
  <c r="K361" i="3"/>
  <c r="N361" i="3" s="1"/>
  <c r="I361" i="3"/>
  <c r="J361" i="3" s="1"/>
  <c r="F361" i="3"/>
  <c r="B361" i="3"/>
  <c r="S360" i="3"/>
  <c r="N360" i="3"/>
  <c r="M360" i="3"/>
  <c r="L360" i="3"/>
  <c r="K360" i="3"/>
  <c r="I360" i="3"/>
  <c r="J360" i="3" s="1"/>
  <c r="F360" i="3"/>
  <c r="B360" i="3"/>
  <c r="S359" i="3"/>
  <c r="M359" i="3"/>
  <c r="L359" i="3"/>
  <c r="K359" i="3"/>
  <c r="N359" i="3" s="1"/>
  <c r="I359" i="3"/>
  <c r="J359" i="3" s="1"/>
  <c r="F359" i="3"/>
  <c r="B359" i="3"/>
  <c r="S358" i="3"/>
  <c r="M358" i="3"/>
  <c r="L358" i="3"/>
  <c r="K358" i="3"/>
  <c r="N358" i="3" s="1"/>
  <c r="I358" i="3"/>
  <c r="J358" i="3" s="1"/>
  <c r="F358" i="3"/>
  <c r="B358" i="3"/>
  <c r="S357" i="3"/>
  <c r="M357" i="3"/>
  <c r="L357" i="3"/>
  <c r="K357" i="3"/>
  <c r="N357" i="3" s="1"/>
  <c r="I357" i="3"/>
  <c r="J357" i="3" s="1"/>
  <c r="F357" i="3"/>
  <c r="B357" i="3"/>
  <c r="S356" i="3"/>
  <c r="M356" i="3"/>
  <c r="L356" i="3"/>
  <c r="K356" i="3"/>
  <c r="N356" i="3" s="1"/>
  <c r="I356" i="3"/>
  <c r="J356" i="3" s="1"/>
  <c r="F356" i="3"/>
  <c r="B356" i="3"/>
  <c r="S355" i="3"/>
  <c r="M355" i="3"/>
  <c r="L355" i="3"/>
  <c r="K355" i="3"/>
  <c r="N355" i="3" s="1"/>
  <c r="I355" i="3"/>
  <c r="J355" i="3" s="1"/>
  <c r="F355" i="3"/>
  <c r="B355" i="3"/>
  <c r="S354" i="3"/>
  <c r="M354" i="3"/>
  <c r="L354" i="3"/>
  <c r="K354" i="3"/>
  <c r="N354" i="3" s="1"/>
  <c r="I354" i="3"/>
  <c r="J354" i="3" s="1"/>
  <c r="F354" i="3"/>
  <c r="B354" i="3"/>
  <c r="S353" i="3"/>
  <c r="M353" i="3"/>
  <c r="L353" i="3"/>
  <c r="K353" i="3"/>
  <c r="N353" i="3" s="1"/>
  <c r="I353" i="3"/>
  <c r="J353" i="3" s="1"/>
  <c r="F353" i="3"/>
  <c r="B353" i="3"/>
  <c r="S352" i="3"/>
  <c r="M352" i="3"/>
  <c r="L352" i="3"/>
  <c r="K352" i="3"/>
  <c r="N352" i="3" s="1"/>
  <c r="I352" i="3"/>
  <c r="J352" i="3" s="1"/>
  <c r="F352" i="3"/>
  <c r="B352" i="3"/>
  <c r="S351" i="3"/>
  <c r="M351" i="3"/>
  <c r="L351" i="3"/>
  <c r="K351" i="3"/>
  <c r="N351" i="3" s="1"/>
  <c r="I351" i="3"/>
  <c r="J351" i="3" s="1"/>
  <c r="F351" i="3"/>
  <c r="B351" i="3"/>
  <c r="S350" i="3"/>
  <c r="M350" i="3"/>
  <c r="L350" i="3"/>
  <c r="K350" i="3"/>
  <c r="N350" i="3" s="1"/>
  <c r="I350" i="3"/>
  <c r="J350" i="3" s="1"/>
  <c r="F350" i="3"/>
  <c r="B350" i="3"/>
  <c r="S349" i="3"/>
  <c r="M349" i="3"/>
  <c r="L349" i="3"/>
  <c r="K349" i="3"/>
  <c r="N349" i="3" s="1"/>
  <c r="I349" i="3"/>
  <c r="J349" i="3" s="1"/>
  <c r="F349" i="3"/>
  <c r="B349" i="3"/>
  <c r="S348" i="3"/>
  <c r="M348" i="3"/>
  <c r="L348" i="3"/>
  <c r="K348" i="3"/>
  <c r="N348" i="3" s="1"/>
  <c r="I348" i="3"/>
  <c r="J348" i="3" s="1"/>
  <c r="F348" i="3"/>
  <c r="B348" i="3"/>
  <c r="S347" i="3"/>
  <c r="M347" i="3"/>
  <c r="L347" i="3"/>
  <c r="K347" i="3"/>
  <c r="N347" i="3" s="1"/>
  <c r="I347" i="3"/>
  <c r="J347" i="3" s="1"/>
  <c r="F347" i="3"/>
  <c r="B347" i="3"/>
  <c r="S346" i="3"/>
  <c r="M346" i="3"/>
  <c r="L346" i="3"/>
  <c r="K346" i="3"/>
  <c r="N346" i="3" s="1"/>
  <c r="J346" i="3"/>
  <c r="I346" i="3"/>
  <c r="F346" i="3"/>
  <c r="B346" i="3"/>
  <c r="S345" i="3"/>
  <c r="M345" i="3"/>
  <c r="L345" i="3"/>
  <c r="K345" i="3"/>
  <c r="N345" i="3" s="1"/>
  <c r="I345" i="3"/>
  <c r="J345" i="3" s="1"/>
  <c r="F345" i="3"/>
  <c r="B345" i="3"/>
  <c r="S344" i="3"/>
  <c r="M344" i="3"/>
  <c r="L344" i="3"/>
  <c r="K344" i="3"/>
  <c r="N344" i="3" s="1"/>
  <c r="I344" i="3"/>
  <c r="J344" i="3" s="1"/>
  <c r="F344" i="3"/>
  <c r="B344" i="3"/>
  <c r="S343" i="3"/>
  <c r="M343" i="3"/>
  <c r="L343" i="3"/>
  <c r="K343" i="3"/>
  <c r="N343" i="3" s="1"/>
  <c r="I343" i="3"/>
  <c r="J343" i="3" s="1"/>
  <c r="F343" i="3"/>
  <c r="B343" i="3"/>
  <c r="S342" i="3"/>
  <c r="M342" i="3"/>
  <c r="L342" i="3"/>
  <c r="K342" i="3"/>
  <c r="N342" i="3" s="1"/>
  <c r="I342" i="3"/>
  <c r="J342" i="3" s="1"/>
  <c r="F342" i="3"/>
  <c r="B342" i="3"/>
  <c r="S341" i="3"/>
  <c r="M341" i="3"/>
  <c r="L341" i="3"/>
  <c r="K341" i="3"/>
  <c r="N341" i="3" s="1"/>
  <c r="I341" i="3"/>
  <c r="J341" i="3" s="1"/>
  <c r="F341" i="3"/>
  <c r="B341" i="3"/>
  <c r="S340" i="3"/>
  <c r="M340" i="3"/>
  <c r="L340" i="3"/>
  <c r="K340" i="3"/>
  <c r="N340" i="3" s="1"/>
  <c r="I340" i="3"/>
  <c r="J340" i="3" s="1"/>
  <c r="F340" i="3"/>
  <c r="B340" i="3"/>
  <c r="S339" i="3"/>
  <c r="M339" i="3"/>
  <c r="L339" i="3"/>
  <c r="K339" i="3"/>
  <c r="N339" i="3" s="1"/>
  <c r="I339" i="3"/>
  <c r="J339" i="3" s="1"/>
  <c r="F339" i="3"/>
  <c r="B339" i="3"/>
  <c r="S338" i="3"/>
  <c r="M338" i="3"/>
  <c r="L338" i="3"/>
  <c r="K338" i="3"/>
  <c r="N338" i="3" s="1"/>
  <c r="I338" i="3"/>
  <c r="J338" i="3" s="1"/>
  <c r="F338" i="3"/>
  <c r="B338" i="3"/>
  <c r="S337" i="3"/>
  <c r="M337" i="3"/>
  <c r="L337" i="3"/>
  <c r="K337" i="3"/>
  <c r="N337" i="3" s="1"/>
  <c r="I337" i="3"/>
  <c r="J337" i="3" s="1"/>
  <c r="F337" i="3"/>
  <c r="B337" i="3"/>
  <c r="S336" i="3"/>
  <c r="M336" i="3"/>
  <c r="L336" i="3"/>
  <c r="K336" i="3"/>
  <c r="N336" i="3" s="1"/>
  <c r="I336" i="3"/>
  <c r="J336" i="3" s="1"/>
  <c r="F336" i="3"/>
  <c r="B336" i="3"/>
  <c r="S335" i="3"/>
  <c r="M335" i="3"/>
  <c r="L335" i="3"/>
  <c r="K335" i="3"/>
  <c r="N335" i="3" s="1"/>
  <c r="I335" i="3"/>
  <c r="J335" i="3" s="1"/>
  <c r="F335" i="3"/>
  <c r="B335" i="3"/>
  <c r="S334" i="3"/>
  <c r="M334" i="3"/>
  <c r="L334" i="3"/>
  <c r="K334" i="3"/>
  <c r="N334" i="3" s="1"/>
  <c r="I334" i="3"/>
  <c r="J334" i="3" s="1"/>
  <c r="F334" i="3"/>
  <c r="B334" i="3"/>
  <c r="S333" i="3"/>
  <c r="M333" i="3"/>
  <c r="L333" i="3"/>
  <c r="K333" i="3"/>
  <c r="N333" i="3" s="1"/>
  <c r="I333" i="3"/>
  <c r="J333" i="3" s="1"/>
  <c r="F333" i="3"/>
  <c r="B333" i="3"/>
  <c r="S332" i="3"/>
  <c r="M332" i="3"/>
  <c r="L332" i="3"/>
  <c r="K332" i="3"/>
  <c r="N332" i="3" s="1"/>
  <c r="I332" i="3"/>
  <c r="J332" i="3" s="1"/>
  <c r="F332" i="3"/>
  <c r="B332" i="3"/>
  <c r="S331" i="3"/>
  <c r="M331" i="3"/>
  <c r="L331" i="3"/>
  <c r="K331" i="3"/>
  <c r="N331" i="3" s="1"/>
  <c r="I331" i="3"/>
  <c r="J331" i="3" s="1"/>
  <c r="F331" i="3"/>
  <c r="B331" i="3"/>
  <c r="S330" i="3"/>
  <c r="M330" i="3"/>
  <c r="L330" i="3"/>
  <c r="K330" i="3"/>
  <c r="N330" i="3" s="1"/>
  <c r="I330" i="3"/>
  <c r="J330" i="3" s="1"/>
  <c r="F330" i="3"/>
  <c r="B330" i="3"/>
  <c r="S329" i="3"/>
  <c r="M329" i="3"/>
  <c r="L329" i="3"/>
  <c r="K329" i="3"/>
  <c r="N329" i="3" s="1"/>
  <c r="I329" i="3"/>
  <c r="J329" i="3" s="1"/>
  <c r="F329" i="3"/>
  <c r="B329" i="3"/>
  <c r="S328" i="3"/>
  <c r="M328" i="3"/>
  <c r="L328" i="3"/>
  <c r="K328" i="3"/>
  <c r="N328" i="3" s="1"/>
  <c r="I328" i="3"/>
  <c r="J328" i="3" s="1"/>
  <c r="F328" i="3"/>
  <c r="B328" i="3"/>
  <c r="S327" i="3"/>
  <c r="M327" i="3"/>
  <c r="L327" i="3"/>
  <c r="K327" i="3"/>
  <c r="N327" i="3" s="1"/>
  <c r="I327" i="3"/>
  <c r="J327" i="3" s="1"/>
  <c r="F327" i="3"/>
  <c r="B327" i="3"/>
  <c r="S326" i="3"/>
  <c r="M326" i="3"/>
  <c r="L326" i="3"/>
  <c r="K326" i="3"/>
  <c r="N326" i="3" s="1"/>
  <c r="I326" i="3"/>
  <c r="J326" i="3" s="1"/>
  <c r="F326" i="3"/>
  <c r="B326" i="3"/>
  <c r="S325" i="3"/>
  <c r="M325" i="3"/>
  <c r="L325" i="3"/>
  <c r="K325" i="3"/>
  <c r="N325" i="3" s="1"/>
  <c r="I325" i="3"/>
  <c r="J325" i="3" s="1"/>
  <c r="F325" i="3"/>
  <c r="B325" i="3"/>
  <c r="S324" i="3"/>
  <c r="M324" i="3"/>
  <c r="L324" i="3"/>
  <c r="K324" i="3"/>
  <c r="N324" i="3" s="1"/>
  <c r="I324" i="3"/>
  <c r="J324" i="3" s="1"/>
  <c r="F324" i="3"/>
  <c r="B324" i="3"/>
  <c r="S323" i="3"/>
  <c r="M323" i="3"/>
  <c r="L323" i="3"/>
  <c r="K323" i="3"/>
  <c r="N323" i="3" s="1"/>
  <c r="I323" i="3"/>
  <c r="J323" i="3" s="1"/>
  <c r="F323" i="3"/>
  <c r="B323" i="3"/>
  <c r="S322" i="3"/>
  <c r="M322" i="3"/>
  <c r="L322" i="3"/>
  <c r="K322" i="3"/>
  <c r="N322" i="3" s="1"/>
  <c r="I322" i="3"/>
  <c r="J322" i="3" s="1"/>
  <c r="F322" i="3"/>
  <c r="B322" i="3"/>
  <c r="S321" i="3"/>
  <c r="M321" i="3"/>
  <c r="L321" i="3"/>
  <c r="K321" i="3"/>
  <c r="N321" i="3" s="1"/>
  <c r="I321" i="3"/>
  <c r="J321" i="3" s="1"/>
  <c r="F321" i="3"/>
  <c r="B321" i="3"/>
  <c r="S320" i="3"/>
  <c r="M320" i="3"/>
  <c r="L320" i="3"/>
  <c r="K320" i="3"/>
  <c r="N320" i="3" s="1"/>
  <c r="I320" i="3"/>
  <c r="J320" i="3" s="1"/>
  <c r="F320" i="3"/>
  <c r="B320" i="3"/>
  <c r="S319" i="3"/>
  <c r="M319" i="3"/>
  <c r="L319" i="3"/>
  <c r="K319" i="3"/>
  <c r="N319" i="3" s="1"/>
  <c r="I319" i="3"/>
  <c r="J319" i="3" s="1"/>
  <c r="F319" i="3"/>
  <c r="B319" i="3"/>
  <c r="S318" i="3"/>
  <c r="M318" i="3"/>
  <c r="L318" i="3"/>
  <c r="K318" i="3"/>
  <c r="N318" i="3" s="1"/>
  <c r="I318" i="3"/>
  <c r="J318" i="3" s="1"/>
  <c r="F318" i="3"/>
  <c r="B318" i="3"/>
  <c r="S317" i="3"/>
  <c r="M317" i="3"/>
  <c r="L317" i="3"/>
  <c r="K317" i="3"/>
  <c r="N317" i="3" s="1"/>
  <c r="I317" i="3"/>
  <c r="J317" i="3" s="1"/>
  <c r="F317" i="3"/>
  <c r="B317" i="3"/>
  <c r="S316" i="3"/>
  <c r="M316" i="3"/>
  <c r="L316" i="3"/>
  <c r="K316" i="3"/>
  <c r="N316" i="3" s="1"/>
  <c r="I316" i="3"/>
  <c r="J316" i="3" s="1"/>
  <c r="F316" i="3"/>
  <c r="B316" i="3"/>
  <c r="S315" i="3"/>
  <c r="M315" i="3"/>
  <c r="L315" i="3"/>
  <c r="K315" i="3"/>
  <c r="N315" i="3" s="1"/>
  <c r="I315" i="3"/>
  <c r="J315" i="3" s="1"/>
  <c r="F315" i="3"/>
  <c r="B315" i="3"/>
  <c r="S314" i="3"/>
  <c r="M314" i="3"/>
  <c r="L314" i="3"/>
  <c r="K314" i="3"/>
  <c r="N314" i="3" s="1"/>
  <c r="I314" i="3"/>
  <c r="J314" i="3" s="1"/>
  <c r="F314" i="3"/>
  <c r="B314" i="3"/>
  <c r="S313" i="3"/>
  <c r="M313" i="3"/>
  <c r="L313" i="3"/>
  <c r="K313" i="3"/>
  <c r="N313" i="3" s="1"/>
  <c r="I313" i="3"/>
  <c r="J313" i="3" s="1"/>
  <c r="F313" i="3"/>
  <c r="B313" i="3"/>
  <c r="S312" i="3"/>
  <c r="M312" i="3"/>
  <c r="L312" i="3"/>
  <c r="K312" i="3"/>
  <c r="N312" i="3" s="1"/>
  <c r="I312" i="3"/>
  <c r="J312" i="3" s="1"/>
  <c r="F312" i="3"/>
  <c r="B312" i="3"/>
  <c r="S311" i="3"/>
  <c r="M311" i="3"/>
  <c r="L311" i="3"/>
  <c r="K311" i="3"/>
  <c r="N311" i="3" s="1"/>
  <c r="I311" i="3"/>
  <c r="J311" i="3" s="1"/>
  <c r="F311" i="3"/>
  <c r="B311" i="3"/>
  <c r="S310" i="3"/>
  <c r="M310" i="3"/>
  <c r="L310" i="3"/>
  <c r="K310" i="3"/>
  <c r="N310" i="3" s="1"/>
  <c r="I310" i="3"/>
  <c r="J310" i="3" s="1"/>
  <c r="F310" i="3"/>
  <c r="B310" i="3"/>
  <c r="S309" i="3"/>
  <c r="M309" i="3"/>
  <c r="L309" i="3"/>
  <c r="K309" i="3"/>
  <c r="N309" i="3" s="1"/>
  <c r="I309" i="3"/>
  <c r="J309" i="3" s="1"/>
  <c r="F309" i="3"/>
  <c r="B309" i="3"/>
  <c r="S308" i="3"/>
  <c r="M308" i="3"/>
  <c r="L308" i="3"/>
  <c r="K308" i="3"/>
  <c r="N308" i="3" s="1"/>
  <c r="I308" i="3"/>
  <c r="J308" i="3" s="1"/>
  <c r="F308" i="3"/>
  <c r="B308" i="3"/>
  <c r="S307" i="3"/>
  <c r="M307" i="3"/>
  <c r="L307" i="3"/>
  <c r="K307" i="3"/>
  <c r="N307" i="3" s="1"/>
  <c r="I307" i="3"/>
  <c r="J307" i="3" s="1"/>
  <c r="F307" i="3"/>
  <c r="B307" i="3"/>
  <c r="S306" i="3"/>
  <c r="M306" i="3"/>
  <c r="L306" i="3"/>
  <c r="K306" i="3"/>
  <c r="N306" i="3" s="1"/>
  <c r="I306" i="3"/>
  <c r="J306" i="3" s="1"/>
  <c r="F306" i="3"/>
  <c r="B306" i="3"/>
  <c r="S305" i="3"/>
  <c r="M305" i="3"/>
  <c r="L305" i="3"/>
  <c r="K305" i="3"/>
  <c r="N305" i="3" s="1"/>
  <c r="I305" i="3"/>
  <c r="J305" i="3" s="1"/>
  <c r="F305" i="3"/>
  <c r="B305" i="3"/>
  <c r="S304" i="3"/>
  <c r="M304" i="3"/>
  <c r="L304" i="3"/>
  <c r="K304" i="3"/>
  <c r="N304" i="3" s="1"/>
  <c r="I304" i="3"/>
  <c r="J304" i="3" s="1"/>
  <c r="F304" i="3"/>
  <c r="B304" i="3"/>
  <c r="S303" i="3"/>
  <c r="M303" i="3"/>
  <c r="L303" i="3"/>
  <c r="K303" i="3"/>
  <c r="N303" i="3" s="1"/>
  <c r="I303" i="3"/>
  <c r="J303" i="3" s="1"/>
  <c r="F303" i="3"/>
  <c r="B303" i="3"/>
  <c r="S302" i="3"/>
  <c r="M302" i="3"/>
  <c r="L302" i="3"/>
  <c r="K302" i="3"/>
  <c r="N302" i="3" s="1"/>
  <c r="I302" i="3"/>
  <c r="J302" i="3" s="1"/>
  <c r="F302" i="3"/>
  <c r="B302" i="3"/>
  <c r="S301" i="3"/>
  <c r="M301" i="3"/>
  <c r="L301" i="3"/>
  <c r="K301" i="3"/>
  <c r="N301" i="3" s="1"/>
  <c r="I301" i="3"/>
  <c r="J301" i="3" s="1"/>
  <c r="F301" i="3"/>
  <c r="B301" i="3"/>
  <c r="S300" i="3"/>
  <c r="M300" i="3"/>
  <c r="L300" i="3"/>
  <c r="K300" i="3"/>
  <c r="N300" i="3" s="1"/>
  <c r="I300" i="3"/>
  <c r="J300" i="3" s="1"/>
  <c r="F300" i="3"/>
  <c r="B300" i="3"/>
  <c r="S299" i="3"/>
  <c r="M299" i="3"/>
  <c r="L299" i="3"/>
  <c r="K299" i="3"/>
  <c r="N299" i="3" s="1"/>
  <c r="I299" i="3"/>
  <c r="J299" i="3" s="1"/>
  <c r="F299" i="3"/>
  <c r="B299" i="3"/>
  <c r="S298" i="3"/>
  <c r="M298" i="3"/>
  <c r="L298" i="3"/>
  <c r="K298" i="3"/>
  <c r="N298" i="3" s="1"/>
  <c r="I298" i="3"/>
  <c r="J298" i="3" s="1"/>
  <c r="F298" i="3"/>
  <c r="B298" i="3"/>
  <c r="S297" i="3"/>
  <c r="M297" i="3"/>
  <c r="L297" i="3"/>
  <c r="K297" i="3"/>
  <c r="N297" i="3" s="1"/>
  <c r="I297" i="3"/>
  <c r="J297" i="3" s="1"/>
  <c r="F297" i="3"/>
  <c r="B297" i="3"/>
  <c r="S296" i="3"/>
  <c r="M296" i="3"/>
  <c r="L296" i="3"/>
  <c r="K296" i="3"/>
  <c r="N296" i="3" s="1"/>
  <c r="I296" i="3"/>
  <c r="J296" i="3" s="1"/>
  <c r="F296" i="3"/>
  <c r="B296" i="3"/>
  <c r="S295" i="3"/>
  <c r="M295" i="3"/>
  <c r="L295" i="3"/>
  <c r="K295" i="3"/>
  <c r="N295" i="3" s="1"/>
  <c r="I295" i="3"/>
  <c r="J295" i="3" s="1"/>
  <c r="F295" i="3"/>
  <c r="B295" i="3"/>
  <c r="S294" i="3"/>
  <c r="M294" i="3"/>
  <c r="L294" i="3"/>
  <c r="K294" i="3"/>
  <c r="N294" i="3" s="1"/>
  <c r="I294" i="3"/>
  <c r="J294" i="3" s="1"/>
  <c r="F294" i="3"/>
  <c r="B294" i="3"/>
  <c r="S293" i="3"/>
  <c r="M293" i="3"/>
  <c r="L293" i="3"/>
  <c r="K293" i="3"/>
  <c r="N293" i="3" s="1"/>
  <c r="I293" i="3"/>
  <c r="J293" i="3" s="1"/>
  <c r="F293" i="3"/>
  <c r="B293" i="3"/>
  <c r="S292" i="3"/>
  <c r="M292" i="3"/>
  <c r="L292" i="3"/>
  <c r="K292" i="3"/>
  <c r="N292" i="3" s="1"/>
  <c r="I292" i="3"/>
  <c r="J292" i="3" s="1"/>
  <c r="F292" i="3"/>
  <c r="B292" i="3"/>
  <c r="S291" i="3"/>
  <c r="M291" i="3"/>
  <c r="L291" i="3"/>
  <c r="K291" i="3"/>
  <c r="N291" i="3" s="1"/>
  <c r="I291" i="3"/>
  <c r="J291" i="3" s="1"/>
  <c r="F291" i="3"/>
  <c r="B291" i="3"/>
  <c r="S290" i="3"/>
  <c r="M290" i="3"/>
  <c r="L290" i="3"/>
  <c r="K290" i="3"/>
  <c r="N290" i="3" s="1"/>
  <c r="I290" i="3"/>
  <c r="J290" i="3" s="1"/>
  <c r="F290" i="3"/>
  <c r="B290" i="3"/>
  <c r="S289" i="3"/>
  <c r="M289" i="3"/>
  <c r="L289" i="3"/>
  <c r="K289" i="3"/>
  <c r="N289" i="3" s="1"/>
  <c r="I289" i="3"/>
  <c r="J289" i="3" s="1"/>
  <c r="F289" i="3"/>
  <c r="B289" i="3"/>
  <c r="S288" i="3"/>
  <c r="M288" i="3"/>
  <c r="L288" i="3"/>
  <c r="K288" i="3"/>
  <c r="N288" i="3" s="1"/>
  <c r="I288" i="3"/>
  <c r="J288" i="3" s="1"/>
  <c r="F288" i="3"/>
  <c r="B288" i="3"/>
  <c r="S287" i="3"/>
  <c r="M287" i="3"/>
  <c r="L287" i="3"/>
  <c r="K287" i="3"/>
  <c r="N287" i="3" s="1"/>
  <c r="I287" i="3"/>
  <c r="J287" i="3" s="1"/>
  <c r="F287" i="3"/>
  <c r="B287" i="3"/>
  <c r="S286" i="3"/>
  <c r="M286" i="3"/>
  <c r="L286" i="3"/>
  <c r="K286" i="3"/>
  <c r="N286" i="3" s="1"/>
  <c r="I286" i="3"/>
  <c r="J286" i="3" s="1"/>
  <c r="F286" i="3"/>
  <c r="B286" i="3"/>
  <c r="S285" i="3"/>
  <c r="M285" i="3"/>
  <c r="L285" i="3"/>
  <c r="K285" i="3"/>
  <c r="N285" i="3" s="1"/>
  <c r="I285" i="3"/>
  <c r="J285" i="3" s="1"/>
  <c r="F285" i="3"/>
  <c r="B285" i="3"/>
  <c r="S284" i="3"/>
  <c r="M284" i="3"/>
  <c r="L284" i="3"/>
  <c r="K284" i="3"/>
  <c r="N284" i="3" s="1"/>
  <c r="I284" i="3"/>
  <c r="J284" i="3" s="1"/>
  <c r="F284" i="3"/>
  <c r="B284" i="3"/>
  <c r="S283" i="3"/>
  <c r="M283" i="3"/>
  <c r="L283" i="3"/>
  <c r="K283" i="3"/>
  <c r="N283" i="3" s="1"/>
  <c r="I283" i="3"/>
  <c r="J283" i="3" s="1"/>
  <c r="F283" i="3"/>
  <c r="B283" i="3"/>
  <c r="S282" i="3"/>
  <c r="M282" i="3"/>
  <c r="L282" i="3"/>
  <c r="K282" i="3"/>
  <c r="N282" i="3" s="1"/>
  <c r="I282" i="3"/>
  <c r="J282" i="3" s="1"/>
  <c r="F282" i="3"/>
  <c r="B282" i="3"/>
  <c r="S281" i="3"/>
  <c r="M281" i="3"/>
  <c r="L281" i="3"/>
  <c r="K281" i="3"/>
  <c r="N281" i="3" s="1"/>
  <c r="I281" i="3"/>
  <c r="J281" i="3" s="1"/>
  <c r="F281" i="3"/>
  <c r="B281" i="3"/>
  <c r="S280" i="3"/>
  <c r="M280" i="3"/>
  <c r="L280" i="3"/>
  <c r="K280" i="3"/>
  <c r="N280" i="3" s="1"/>
  <c r="I280" i="3"/>
  <c r="J280" i="3" s="1"/>
  <c r="F280" i="3"/>
  <c r="B280" i="3"/>
  <c r="S279" i="3"/>
  <c r="M279" i="3"/>
  <c r="L279" i="3"/>
  <c r="K279" i="3"/>
  <c r="N279" i="3" s="1"/>
  <c r="I279" i="3"/>
  <c r="J279" i="3" s="1"/>
  <c r="F279" i="3"/>
  <c r="B279" i="3"/>
  <c r="S278" i="3"/>
  <c r="M278" i="3"/>
  <c r="L278" i="3"/>
  <c r="K278" i="3"/>
  <c r="N278" i="3" s="1"/>
  <c r="I278" i="3"/>
  <c r="J278" i="3" s="1"/>
  <c r="F278" i="3"/>
  <c r="B278" i="3"/>
  <c r="S277" i="3"/>
  <c r="M277" i="3"/>
  <c r="L277" i="3"/>
  <c r="K277" i="3"/>
  <c r="N277" i="3" s="1"/>
  <c r="I277" i="3"/>
  <c r="J277" i="3" s="1"/>
  <c r="F277" i="3"/>
  <c r="B277" i="3"/>
  <c r="S276" i="3"/>
  <c r="M276" i="3"/>
  <c r="L276" i="3"/>
  <c r="K276" i="3"/>
  <c r="N276" i="3" s="1"/>
  <c r="I276" i="3"/>
  <c r="J276" i="3" s="1"/>
  <c r="F276" i="3"/>
  <c r="B276" i="3"/>
  <c r="S275" i="3"/>
  <c r="M275" i="3"/>
  <c r="L275" i="3"/>
  <c r="K275" i="3"/>
  <c r="N275" i="3" s="1"/>
  <c r="I275" i="3"/>
  <c r="J275" i="3" s="1"/>
  <c r="F275" i="3"/>
  <c r="B275" i="3"/>
  <c r="S274" i="3"/>
  <c r="M274" i="3"/>
  <c r="L274" i="3"/>
  <c r="K274" i="3"/>
  <c r="N274" i="3" s="1"/>
  <c r="I274" i="3"/>
  <c r="J274" i="3" s="1"/>
  <c r="F274" i="3"/>
  <c r="B274" i="3"/>
  <c r="S273" i="3"/>
  <c r="M273" i="3"/>
  <c r="L273" i="3"/>
  <c r="K273" i="3"/>
  <c r="N273" i="3" s="1"/>
  <c r="I273" i="3"/>
  <c r="J273" i="3" s="1"/>
  <c r="F273" i="3"/>
  <c r="B273" i="3"/>
  <c r="S272" i="3"/>
  <c r="M272" i="3"/>
  <c r="L272" i="3"/>
  <c r="K272" i="3"/>
  <c r="N272" i="3" s="1"/>
  <c r="I272" i="3"/>
  <c r="J272" i="3" s="1"/>
  <c r="F272" i="3"/>
  <c r="B272" i="3"/>
  <c r="S271" i="3"/>
  <c r="M271" i="3"/>
  <c r="L271" i="3"/>
  <c r="K271" i="3"/>
  <c r="N271" i="3" s="1"/>
  <c r="I271" i="3"/>
  <c r="J271" i="3" s="1"/>
  <c r="F271" i="3"/>
  <c r="B271" i="3"/>
  <c r="S270" i="3"/>
  <c r="M270" i="3"/>
  <c r="L270" i="3"/>
  <c r="K270" i="3"/>
  <c r="N270" i="3" s="1"/>
  <c r="I270" i="3"/>
  <c r="J270" i="3" s="1"/>
  <c r="F270" i="3"/>
  <c r="B270" i="3"/>
  <c r="S269" i="3"/>
  <c r="M269" i="3"/>
  <c r="L269" i="3"/>
  <c r="K269" i="3"/>
  <c r="N269" i="3" s="1"/>
  <c r="I269" i="3"/>
  <c r="J269" i="3" s="1"/>
  <c r="F269" i="3"/>
  <c r="B269" i="3"/>
  <c r="S268" i="3"/>
  <c r="M268" i="3"/>
  <c r="L268" i="3"/>
  <c r="K268" i="3"/>
  <c r="N268" i="3" s="1"/>
  <c r="I268" i="3"/>
  <c r="J268" i="3" s="1"/>
  <c r="F268" i="3"/>
  <c r="B268" i="3"/>
  <c r="S267" i="3"/>
  <c r="M267" i="3"/>
  <c r="L267" i="3"/>
  <c r="K267" i="3"/>
  <c r="N267" i="3" s="1"/>
  <c r="I267" i="3"/>
  <c r="J267" i="3" s="1"/>
  <c r="F267" i="3"/>
  <c r="B267" i="3"/>
  <c r="S266" i="3"/>
  <c r="M266" i="3"/>
  <c r="L266" i="3"/>
  <c r="K266" i="3"/>
  <c r="N266" i="3" s="1"/>
  <c r="I266" i="3"/>
  <c r="J266" i="3" s="1"/>
  <c r="F266" i="3"/>
  <c r="B266" i="3"/>
  <c r="S265" i="3"/>
  <c r="M265" i="3"/>
  <c r="L265" i="3"/>
  <c r="K265" i="3"/>
  <c r="N265" i="3" s="1"/>
  <c r="I265" i="3"/>
  <c r="J265" i="3" s="1"/>
  <c r="F265" i="3"/>
  <c r="B265" i="3"/>
  <c r="S264" i="3"/>
  <c r="M264" i="3"/>
  <c r="L264" i="3"/>
  <c r="K264" i="3"/>
  <c r="N264" i="3" s="1"/>
  <c r="I264" i="3"/>
  <c r="J264" i="3" s="1"/>
  <c r="F264" i="3"/>
  <c r="B264" i="3"/>
  <c r="S263" i="3"/>
  <c r="M263" i="3"/>
  <c r="L263" i="3"/>
  <c r="K263" i="3"/>
  <c r="N263" i="3" s="1"/>
  <c r="I263" i="3"/>
  <c r="J263" i="3" s="1"/>
  <c r="F263" i="3"/>
  <c r="B263" i="3"/>
  <c r="S262" i="3"/>
  <c r="M262" i="3"/>
  <c r="L262" i="3"/>
  <c r="K262" i="3"/>
  <c r="N262" i="3" s="1"/>
  <c r="I262" i="3"/>
  <c r="J262" i="3" s="1"/>
  <c r="F262" i="3"/>
  <c r="B262" i="3"/>
  <c r="S261" i="3"/>
  <c r="M261" i="3"/>
  <c r="L261" i="3"/>
  <c r="K261" i="3"/>
  <c r="N261" i="3" s="1"/>
  <c r="I261" i="3"/>
  <c r="J261" i="3" s="1"/>
  <c r="F261" i="3"/>
  <c r="B261" i="3"/>
  <c r="S260" i="3"/>
  <c r="M260" i="3"/>
  <c r="L260" i="3"/>
  <c r="K260" i="3"/>
  <c r="N260" i="3" s="1"/>
  <c r="I260" i="3"/>
  <c r="J260" i="3" s="1"/>
  <c r="F260" i="3"/>
  <c r="B260" i="3"/>
  <c r="S259" i="3"/>
  <c r="M259" i="3"/>
  <c r="L259" i="3"/>
  <c r="K259" i="3"/>
  <c r="N259" i="3" s="1"/>
  <c r="I259" i="3"/>
  <c r="J259" i="3" s="1"/>
  <c r="F259" i="3"/>
  <c r="B259" i="3"/>
  <c r="S258" i="3"/>
  <c r="M258" i="3"/>
  <c r="L258" i="3"/>
  <c r="K258" i="3"/>
  <c r="N258" i="3" s="1"/>
  <c r="I258" i="3"/>
  <c r="J258" i="3" s="1"/>
  <c r="F258" i="3"/>
  <c r="B258" i="3"/>
  <c r="S257" i="3"/>
  <c r="M257" i="3"/>
  <c r="L257" i="3"/>
  <c r="K257" i="3"/>
  <c r="N257" i="3" s="1"/>
  <c r="I257" i="3"/>
  <c r="J257" i="3" s="1"/>
  <c r="F257" i="3"/>
  <c r="B257" i="3"/>
  <c r="S256" i="3"/>
  <c r="M256" i="3"/>
  <c r="L256" i="3"/>
  <c r="K256" i="3"/>
  <c r="N256" i="3" s="1"/>
  <c r="I256" i="3"/>
  <c r="J256" i="3" s="1"/>
  <c r="F256" i="3"/>
  <c r="B256" i="3"/>
  <c r="S255" i="3"/>
  <c r="M255" i="3"/>
  <c r="L255" i="3"/>
  <c r="K255" i="3"/>
  <c r="N255" i="3" s="1"/>
  <c r="I255" i="3"/>
  <c r="J255" i="3" s="1"/>
  <c r="F255" i="3"/>
  <c r="B255" i="3"/>
  <c r="S254" i="3"/>
  <c r="M254" i="3"/>
  <c r="L254" i="3"/>
  <c r="K254" i="3"/>
  <c r="N254" i="3" s="1"/>
  <c r="I254" i="3"/>
  <c r="J254" i="3" s="1"/>
  <c r="F254" i="3"/>
  <c r="B254" i="3"/>
  <c r="S253" i="3"/>
  <c r="M253" i="3"/>
  <c r="L253" i="3"/>
  <c r="K253" i="3"/>
  <c r="N253" i="3" s="1"/>
  <c r="I253" i="3"/>
  <c r="J253" i="3" s="1"/>
  <c r="F253" i="3"/>
  <c r="B253" i="3"/>
  <c r="S252" i="3"/>
  <c r="M252" i="3"/>
  <c r="L252" i="3"/>
  <c r="K252" i="3"/>
  <c r="N252" i="3" s="1"/>
  <c r="I252" i="3"/>
  <c r="J252" i="3" s="1"/>
  <c r="F252" i="3"/>
  <c r="B252" i="3"/>
  <c r="S251" i="3"/>
  <c r="N251" i="3"/>
  <c r="M251" i="3"/>
  <c r="L251" i="3"/>
  <c r="K251" i="3"/>
  <c r="I251" i="3"/>
  <c r="J251" i="3" s="1"/>
  <c r="F251" i="3"/>
  <c r="B251" i="3"/>
  <c r="S250" i="3"/>
  <c r="M250" i="3"/>
  <c r="L250" i="3"/>
  <c r="K250" i="3"/>
  <c r="N250" i="3" s="1"/>
  <c r="I250" i="3"/>
  <c r="J250" i="3" s="1"/>
  <c r="F250" i="3"/>
  <c r="B250" i="3"/>
  <c r="S249" i="3"/>
  <c r="M249" i="3"/>
  <c r="L249" i="3"/>
  <c r="K249" i="3"/>
  <c r="N249" i="3" s="1"/>
  <c r="I249" i="3"/>
  <c r="J249" i="3" s="1"/>
  <c r="F249" i="3"/>
  <c r="B249" i="3"/>
  <c r="S248" i="3"/>
  <c r="M248" i="3"/>
  <c r="L248" i="3"/>
  <c r="K248" i="3"/>
  <c r="N248" i="3" s="1"/>
  <c r="I248" i="3"/>
  <c r="J248" i="3" s="1"/>
  <c r="F248" i="3"/>
  <c r="B248" i="3"/>
  <c r="S247" i="3"/>
  <c r="M247" i="3"/>
  <c r="L247" i="3"/>
  <c r="K247" i="3"/>
  <c r="N247" i="3" s="1"/>
  <c r="I247" i="3"/>
  <c r="J247" i="3" s="1"/>
  <c r="F247" i="3"/>
  <c r="B247" i="3"/>
  <c r="S246" i="3"/>
  <c r="M246" i="3"/>
  <c r="L246" i="3"/>
  <c r="K246" i="3"/>
  <c r="N246" i="3" s="1"/>
  <c r="I246" i="3"/>
  <c r="J246" i="3" s="1"/>
  <c r="F246" i="3"/>
  <c r="B246" i="3"/>
  <c r="S245" i="3"/>
  <c r="M245" i="3"/>
  <c r="L245" i="3"/>
  <c r="K245" i="3"/>
  <c r="N245" i="3" s="1"/>
  <c r="I245" i="3"/>
  <c r="J245" i="3" s="1"/>
  <c r="F245" i="3"/>
  <c r="B245" i="3"/>
  <c r="S244" i="3"/>
  <c r="M244" i="3"/>
  <c r="L244" i="3"/>
  <c r="K244" i="3"/>
  <c r="N244" i="3" s="1"/>
  <c r="I244" i="3"/>
  <c r="J244" i="3" s="1"/>
  <c r="F244" i="3"/>
  <c r="B244" i="3"/>
  <c r="S243" i="3"/>
  <c r="M243" i="3"/>
  <c r="L243" i="3"/>
  <c r="K243" i="3"/>
  <c r="N243" i="3" s="1"/>
  <c r="I243" i="3"/>
  <c r="J243" i="3" s="1"/>
  <c r="F243" i="3"/>
  <c r="B243" i="3"/>
  <c r="S242" i="3"/>
  <c r="M242" i="3"/>
  <c r="L242" i="3"/>
  <c r="K242" i="3"/>
  <c r="N242" i="3" s="1"/>
  <c r="I242" i="3"/>
  <c r="J242" i="3" s="1"/>
  <c r="F242" i="3"/>
  <c r="B242" i="3"/>
  <c r="S241" i="3"/>
  <c r="M241" i="3"/>
  <c r="L241" i="3"/>
  <c r="K241" i="3"/>
  <c r="N241" i="3" s="1"/>
  <c r="I241" i="3"/>
  <c r="J241" i="3" s="1"/>
  <c r="F241" i="3"/>
  <c r="B241" i="3"/>
  <c r="S240" i="3"/>
  <c r="M240" i="3"/>
  <c r="L240" i="3"/>
  <c r="K240" i="3"/>
  <c r="N240" i="3" s="1"/>
  <c r="I240" i="3"/>
  <c r="J240" i="3" s="1"/>
  <c r="F240" i="3"/>
  <c r="B240" i="3"/>
  <c r="S239" i="3"/>
  <c r="M239" i="3"/>
  <c r="L239" i="3"/>
  <c r="K239" i="3"/>
  <c r="N239" i="3" s="1"/>
  <c r="I239" i="3"/>
  <c r="J239" i="3" s="1"/>
  <c r="F239" i="3"/>
  <c r="B239" i="3"/>
  <c r="S238" i="3"/>
  <c r="M238" i="3"/>
  <c r="L238" i="3"/>
  <c r="K238" i="3"/>
  <c r="N238" i="3" s="1"/>
  <c r="I238" i="3"/>
  <c r="J238" i="3" s="1"/>
  <c r="F238" i="3"/>
  <c r="B238" i="3"/>
  <c r="S237" i="3"/>
  <c r="M237" i="3"/>
  <c r="L237" i="3"/>
  <c r="K237" i="3"/>
  <c r="N237" i="3" s="1"/>
  <c r="I237" i="3"/>
  <c r="J237" i="3" s="1"/>
  <c r="F237" i="3"/>
  <c r="B237" i="3"/>
  <c r="S236" i="3"/>
  <c r="M236" i="3"/>
  <c r="L236" i="3"/>
  <c r="K236" i="3"/>
  <c r="N236" i="3" s="1"/>
  <c r="I236" i="3"/>
  <c r="J236" i="3" s="1"/>
  <c r="F236" i="3"/>
  <c r="B236" i="3"/>
  <c r="S235" i="3"/>
  <c r="M235" i="3"/>
  <c r="L235" i="3"/>
  <c r="K235" i="3"/>
  <c r="N235" i="3" s="1"/>
  <c r="I235" i="3"/>
  <c r="J235" i="3" s="1"/>
  <c r="F235" i="3"/>
  <c r="B235" i="3"/>
  <c r="S234" i="3"/>
  <c r="M234" i="3"/>
  <c r="L234" i="3"/>
  <c r="K234" i="3"/>
  <c r="N234" i="3" s="1"/>
  <c r="I234" i="3"/>
  <c r="J234" i="3" s="1"/>
  <c r="F234" i="3"/>
  <c r="B234" i="3"/>
  <c r="S233" i="3"/>
  <c r="M233" i="3"/>
  <c r="L233" i="3"/>
  <c r="K233" i="3"/>
  <c r="N233" i="3" s="1"/>
  <c r="I233" i="3"/>
  <c r="J233" i="3" s="1"/>
  <c r="F233" i="3"/>
  <c r="B233" i="3"/>
  <c r="S232" i="3"/>
  <c r="M232" i="3"/>
  <c r="L232" i="3"/>
  <c r="K232" i="3"/>
  <c r="N232" i="3" s="1"/>
  <c r="I232" i="3"/>
  <c r="J232" i="3" s="1"/>
  <c r="F232" i="3"/>
  <c r="B232" i="3"/>
  <c r="S231" i="3"/>
  <c r="M231" i="3"/>
  <c r="L231" i="3"/>
  <c r="K231" i="3"/>
  <c r="N231" i="3" s="1"/>
  <c r="I231" i="3"/>
  <c r="J231" i="3" s="1"/>
  <c r="F231" i="3"/>
  <c r="B231" i="3"/>
  <c r="S230" i="3"/>
  <c r="M230" i="3"/>
  <c r="L230" i="3"/>
  <c r="K230" i="3"/>
  <c r="N230" i="3" s="1"/>
  <c r="I230" i="3"/>
  <c r="J230" i="3" s="1"/>
  <c r="F230" i="3"/>
  <c r="B230" i="3"/>
  <c r="S229" i="3"/>
  <c r="M229" i="3"/>
  <c r="L229" i="3"/>
  <c r="K229" i="3"/>
  <c r="N229" i="3" s="1"/>
  <c r="I229" i="3"/>
  <c r="J229" i="3" s="1"/>
  <c r="F229" i="3"/>
  <c r="B229" i="3"/>
  <c r="S228" i="3"/>
  <c r="M228" i="3"/>
  <c r="L228" i="3"/>
  <c r="K228" i="3"/>
  <c r="N228" i="3" s="1"/>
  <c r="I228" i="3"/>
  <c r="J228" i="3" s="1"/>
  <c r="F228" i="3"/>
  <c r="B228" i="3"/>
  <c r="S227" i="3"/>
  <c r="M227" i="3"/>
  <c r="L227" i="3"/>
  <c r="K227" i="3"/>
  <c r="N227" i="3" s="1"/>
  <c r="I227" i="3"/>
  <c r="J227" i="3" s="1"/>
  <c r="F227" i="3"/>
  <c r="B227" i="3"/>
  <c r="S226" i="3"/>
  <c r="M226" i="3"/>
  <c r="L226" i="3"/>
  <c r="K226" i="3"/>
  <c r="N226" i="3" s="1"/>
  <c r="I226" i="3"/>
  <c r="J226" i="3" s="1"/>
  <c r="F226" i="3"/>
  <c r="B226" i="3"/>
  <c r="S225" i="3"/>
  <c r="M225" i="3"/>
  <c r="L225" i="3"/>
  <c r="K225" i="3"/>
  <c r="N225" i="3" s="1"/>
  <c r="I225" i="3"/>
  <c r="J225" i="3" s="1"/>
  <c r="F225" i="3"/>
  <c r="B225" i="3"/>
  <c r="S224" i="3"/>
  <c r="M224" i="3"/>
  <c r="L224" i="3"/>
  <c r="K224" i="3"/>
  <c r="N224" i="3" s="1"/>
  <c r="I224" i="3"/>
  <c r="J224" i="3" s="1"/>
  <c r="F224" i="3"/>
  <c r="B224" i="3"/>
  <c r="S223" i="3"/>
  <c r="M223" i="3"/>
  <c r="L223" i="3"/>
  <c r="K223" i="3"/>
  <c r="N223" i="3" s="1"/>
  <c r="I223" i="3"/>
  <c r="J223" i="3" s="1"/>
  <c r="F223" i="3"/>
  <c r="B223" i="3"/>
  <c r="S222" i="3"/>
  <c r="M222" i="3"/>
  <c r="L222" i="3"/>
  <c r="K222" i="3"/>
  <c r="N222" i="3" s="1"/>
  <c r="I222" i="3"/>
  <c r="J222" i="3" s="1"/>
  <c r="F222" i="3"/>
  <c r="B222" i="3"/>
  <c r="S221" i="3"/>
  <c r="M221" i="3"/>
  <c r="L221" i="3"/>
  <c r="K221" i="3"/>
  <c r="N221" i="3" s="1"/>
  <c r="I221" i="3"/>
  <c r="J221" i="3" s="1"/>
  <c r="F221" i="3"/>
  <c r="B221" i="3"/>
  <c r="S220" i="3"/>
  <c r="M220" i="3"/>
  <c r="L220" i="3"/>
  <c r="K220" i="3"/>
  <c r="N220" i="3" s="1"/>
  <c r="I220" i="3"/>
  <c r="J220" i="3" s="1"/>
  <c r="F220" i="3"/>
  <c r="B220" i="3"/>
  <c r="S219" i="3"/>
  <c r="M219" i="3"/>
  <c r="L219" i="3"/>
  <c r="K219" i="3"/>
  <c r="N219" i="3" s="1"/>
  <c r="I219" i="3"/>
  <c r="J219" i="3" s="1"/>
  <c r="F219" i="3"/>
  <c r="B219" i="3"/>
  <c r="S218" i="3"/>
  <c r="M218" i="3"/>
  <c r="L218" i="3"/>
  <c r="K218" i="3"/>
  <c r="N218" i="3" s="1"/>
  <c r="I218" i="3"/>
  <c r="J218" i="3" s="1"/>
  <c r="F218" i="3"/>
  <c r="B218" i="3"/>
  <c r="S217" i="3"/>
  <c r="M217" i="3"/>
  <c r="L217" i="3"/>
  <c r="K217" i="3"/>
  <c r="N217" i="3" s="1"/>
  <c r="I217" i="3"/>
  <c r="J217" i="3" s="1"/>
  <c r="F217" i="3"/>
  <c r="B217" i="3"/>
  <c r="S216" i="3"/>
  <c r="M216" i="3"/>
  <c r="L216" i="3"/>
  <c r="K216" i="3"/>
  <c r="N216" i="3" s="1"/>
  <c r="I216" i="3"/>
  <c r="J216" i="3" s="1"/>
  <c r="F216" i="3"/>
  <c r="B216" i="3"/>
  <c r="S215" i="3"/>
  <c r="M215" i="3"/>
  <c r="L215" i="3"/>
  <c r="K215" i="3"/>
  <c r="N215" i="3" s="1"/>
  <c r="I215" i="3"/>
  <c r="J215" i="3" s="1"/>
  <c r="F215" i="3"/>
  <c r="B215" i="3"/>
  <c r="S214" i="3"/>
  <c r="M214" i="3"/>
  <c r="L214" i="3"/>
  <c r="K214" i="3"/>
  <c r="N214" i="3" s="1"/>
  <c r="I214" i="3"/>
  <c r="J214" i="3" s="1"/>
  <c r="F214" i="3"/>
  <c r="B214" i="3"/>
  <c r="S213" i="3"/>
  <c r="M213" i="3"/>
  <c r="L213" i="3"/>
  <c r="K213" i="3"/>
  <c r="N213" i="3" s="1"/>
  <c r="I213" i="3"/>
  <c r="J213" i="3" s="1"/>
  <c r="F213" i="3"/>
  <c r="B213" i="3"/>
  <c r="S212" i="3"/>
  <c r="M212" i="3"/>
  <c r="L212" i="3"/>
  <c r="K212" i="3"/>
  <c r="N212" i="3" s="1"/>
  <c r="I212" i="3"/>
  <c r="J212" i="3" s="1"/>
  <c r="F212" i="3"/>
  <c r="B212" i="3"/>
  <c r="S211" i="3"/>
  <c r="M211" i="3"/>
  <c r="L211" i="3"/>
  <c r="K211" i="3"/>
  <c r="N211" i="3" s="1"/>
  <c r="I211" i="3"/>
  <c r="J211" i="3" s="1"/>
  <c r="F211" i="3"/>
  <c r="B211" i="3"/>
  <c r="S210" i="3"/>
  <c r="M210" i="3"/>
  <c r="L210" i="3"/>
  <c r="K210" i="3"/>
  <c r="N210" i="3" s="1"/>
  <c r="I210" i="3"/>
  <c r="J210" i="3" s="1"/>
  <c r="F210" i="3"/>
  <c r="B210" i="3"/>
  <c r="S209" i="3"/>
  <c r="M209" i="3"/>
  <c r="L209" i="3"/>
  <c r="K209" i="3"/>
  <c r="N209" i="3" s="1"/>
  <c r="I209" i="3"/>
  <c r="J209" i="3" s="1"/>
  <c r="F209" i="3"/>
  <c r="B209" i="3"/>
  <c r="S208" i="3"/>
  <c r="M208" i="3"/>
  <c r="L208" i="3"/>
  <c r="K208" i="3"/>
  <c r="N208" i="3" s="1"/>
  <c r="I208" i="3"/>
  <c r="J208" i="3" s="1"/>
  <c r="F208" i="3"/>
  <c r="B208" i="3"/>
  <c r="S207" i="3"/>
  <c r="M207" i="3"/>
  <c r="L207" i="3"/>
  <c r="K207" i="3"/>
  <c r="N207" i="3" s="1"/>
  <c r="I207" i="3"/>
  <c r="J207" i="3" s="1"/>
  <c r="F207" i="3"/>
  <c r="B207" i="3"/>
  <c r="S206" i="3"/>
  <c r="M206" i="3"/>
  <c r="L206" i="3"/>
  <c r="K206" i="3"/>
  <c r="N206" i="3" s="1"/>
  <c r="I206" i="3"/>
  <c r="J206" i="3" s="1"/>
  <c r="F206" i="3"/>
  <c r="B206" i="3"/>
  <c r="S205" i="3"/>
  <c r="M205" i="3"/>
  <c r="L205" i="3"/>
  <c r="K205" i="3"/>
  <c r="N205" i="3" s="1"/>
  <c r="I205" i="3"/>
  <c r="J205" i="3" s="1"/>
  <c r="F205" i="3"/>
  <c r="B205" i="3"/>
  <c r="S204" i="3"/>
  <c r="M204" i="3"/>
  <c r="L204" i="3"/>
  <c r="K204" i="3"/>
  <c r="N204" i="3" s="1"/>
  <c r="I204" i="3"/>
  <c r="J204" i="3" s="1"/>
  <c r="F204" i="3"/>
  <c r="B204" i="3"/>
  <c r="S203" i="3"/>
  <c r="M203" i="3"/>
  <c r="L203" i="3"/>
  <c r="K203" i="3"/>
  <c r="N203" i="3" s="1"/>
  <c r="I203" i="3"/>
  <c r="J203" i="3" s="1"/>
  <c r="F203" i="3"/>
  <c r="B203" i="3"/>
  <c r="S202" i="3"/>
  <c r="M202" i="3"/>
  <c r="L202" i="3"/>
  <c r="K202" i="3"/>
  <c r="N202" i="3" s="1"/>
  <c r="I202" i="3"/>
  <c r="J202" i="3" s="1"/>
  <c r="F202" i="3"/>
  <c r="B202" i="3"/>
  <c r="S201" i="3"/>
  <c r="M201" i="3"/>
  <c r="L201" i="3"/>
  <c r="K201" i="3"/>
  <c r="N201" i="3" s="1"/>
  <c r="I201" i="3"/>
  <c r="J201" i="3" s="1"/>
  <c r="F201" i="3"/>
  <c r="B201" i="3"/>
  <c r="S200" i="3"/>
  <c r="M200" i="3"/>
  <c r="L200" i="3"/>
  <c r="K200" i="3"/>
  <c r="N200" i="3" s="1"/>
  <c r="I200" i="3"/>
  <c r="J200" i="3" s="1"/>
  <c r="F200" i="3"/>
  <c r="B200" i="3"/>
  <c r="S199" i="3"/>
  <c r="M199" i="3"/>
  <c r="L199" i="3"/>
  <c r="K199" i="3"/>
  <c r="N199" i="3" s="1"/>
  <c r="I199" i="3"/>
  <c r="J199" i="3" s="1"/>
  <c r="F199" i="3"/>
  <c r="B199" i="3"/>
  <c r="S198" i="3"/>
  <c r="M198" i="3"/>
  <c r="L198" i="3"/>
  <c r="K198" i="3"/>
  <c r="N198" i="3" s="1"/>
  <c r="I198" i="3"/>
  <c r="J198" i="3" s="1"/>
  <c r="F198" i="3"/>
  <c r="B198" i="3"/>
  <c r="S197" i="3"/>
  <c r="M197" i="3"/>
  <c r="L197" i="3"/>
  <c r="K197" i="3"/>
  <c r="N197" i="3" s="1"/>
  <c r="I197" i="3"/>
  <c r="J197" i="3" s="1"/>
  <c r="F197" i="3"/>
  <c r="B197" i="3"/>
  <c r="S196" i="3"/>
  <c r="M196" i="3"/>
  <c r="L196" i="3"/>
  <c r="K196" i="3"/>
  <c r="N196" i="3" s="1"/>
  <c r="I196" i="3"/>
  <c r="J196" i="3" s="1"/>
  <c r="F196" i="3"/>
  <c r="B196" i="3"/>
  <c r="S195" i="3"/>
  <c r="M195" i="3"/>
  <c r="L195" i="3"/>
  <c r="K195" i="3"/>
  <c r="N195" i="3" s="1"/>
  <c r="I195" i="3"/>
  <c r="J195" i="3" s="1"/>
  <c r="F195" i="3"/>
  <c r="B195" i="3"/>
  <c r="S194" i="3"/>
  <c r="M194" i="3"/>
  <c r="L194" i="3"/>
  <c r="K194" i="3"/>
  <c r="N194" i="3" s="1"/>
  <c r="I194" i="3"/>
  <c r="J194" i="3" s="1"/>
  <c r="F194" i="3"/>
  <c r="B194" i="3"/>
  <c r="S193" i="3"/>
  <c r="M193" i="3"/>
  <c r="L193" i="3"/>
  <c r="K193" i="3"/>
  <c r="N193" i="3" s="1"/>
  <c r="I193" i="3"/>
  <c r="J193" i="3" s="1"/>
  <c r="F193" i="3"/>
  <c r="B193" i="3"/>
  <c r="S192" i="3"/>
  <c r="M192" i="3"/>
  <c r="L192" i="3"/>
  <c r="K192" i="3"/>
  <c r="N192" i="3" s="1"/>
  <c r="I192" i="3"/>
  <c r="J192" i="3" s="1"/>
  <c r="F192" i="3"/>
  <c r="B192" i="3"/>
  <c r="S191" i="3"/>
  <c r="M191" i="3"/>
  <c r="L191" i="3"/>
  <c r="K191" i="3"/>
  <c r="N191" i="3" s="1"/>
  <c r="I191" i="3"/>
  <c r="J191" i="3" s="1"/>
  <c r="F191" i="3"/>
  <c r="B191" i="3"/>
  <c r="S190" i="3"/>
  <c r="M190" i="3"/>
  <c r="L190" i="3"/>
  <c r="K190" i="3"/>
  <c r="N190" i="3" s="1"/>
  <c r="I190" i="3"/>
  <c r="J190" i="3" s="1"/>
  <c r="F190" i="3"/>
  <c r="B190" i="3"/>
  <c r="S189" i="3"/>
  <c r="M189" i="3"/>
  <c r="L189" i="3"/>
  <c r="K189" i="3"/>
  <c r="N189" i="3" s="1"/>
  <c r="I189" i="3"/>
  <c r="J189" i="3" s="1"/>
  <c r="F189" i="3"/>
  <c r="B189" i="3"/>
  <c r="S188" i="3"/>
  <c r="M188" i="3"/>
  <c r="L188" i="3"/>
  <c r="K188" i="3"/>
  <c r="N188" i="3" s="1"/>
  <c r="I188" i="3"/>
  <c r="J188" i="3" s="1"/>
  <c r="F188" i="3"/>
  <c r="B188" i="3"/>
  <c r="S187" i="3"/>
  <c r="M187" i="3"/>
  <c r="L187" i="3"/>
  <c r="K187" i="3"/>
  <c r="N187" i="3" s="1"/>
  <c r="I187" i="3"/>
  <c r="J187" i="3" s="1"/>
  <c r="F187" i="3"/>
  <c r="B187" i="3"/>
  <c r="S186" i="3"/>
  <c r="M186" i="3"/>
  <c r="L186" i="3"/>
  <c r="K186" i="3"/>
  <c r="N186" i="3" s="1"/>
  <c r="I186" i="3"/>
  <c r="J186" i="3" s="1"/>
  <c r="F186" i="3"/>
  <c r="B186" i="3"/>
  <c r="S185" i="3"/>
  <c r="M185" i="3"/>
  <c r="L185" i="3"/>
  <c r="K185" i="3"/>
  <c r="N185" i="3" s="1"/>
  <c r="I185" i="3"/>
  <c r="J185" i="3" s="1"/>
  <c r="F185" i="3"/>
  <c r="B185" i="3"/>
  <c r="S184" i="3"/>
  <c r="M184" i="3"/>
  <c r="L184" i="3"/>
  <c r="K184" i="3"/>
  <c r="N184" i="3" s="1"/>
  <c r="I184" i="3"/>
  <c r="J184" i="3" s="1"/>
  <c r="F184" i="3"/>
  <c r="B184" i="3"/>
  <c r="S183" i="3"/>
  <c r="M183" i="3"/>
  <c r="L183" i="3"/>
  <c r="K183" i="3"/>
  <c r="N183" i="3" s="1"/>
  <c r="I183" i="3"/>
  <c r="J183" i="3" s="1"/>
  <c r="F183" i="3"/>
  <c r="B183" i="3"/>
  <c r="S182" i="3"/>
  <c r="M182" i="3"/>
  <c r="L182" i="3"/>
  <c r="K182" i="3"/>
  <c r="N182" i="3" s="1"/>
  <c r="I182" i="3"/>
  <c r="J182" i="3" s="1"/>
  <c r="F182" i="3"/>
  <c r="B182" i="3"/>
  <c r="S181" i="3"/>
  <c r="M181" i="3"/>
  <c r="L181" i="3"/>
  <c r="K181" i="3"/>
  <c r="N181" i="3" s="1"/>
  <c r="I181" i="3"/>
  <c r="J181" i="3" s="1"/>
  <c r="F181" i="3"/>
  <c r="B181" i="3"/>
  <c r="S180" i="3"/>
  <c r="M180" i="3"/>
  <c r="L180" i="3"/>
  <c r="K180" i="3"/>
  <c r="N180" i="3" s="1"/>
  <c r="I180" i="3"/>
  <c r="J180" i="3" s="1"/>
  <c r="F180" i="3"/>
  <c r="B180" i="3"/>
  <c r="S179" i="3"/>
  <c r="M179" i="3"/>
  <c r="L179" i="3"/>
  <c r="K179" i="3"/>
  <c r="N179" i="3" s="1"/>
  <c r="I179" i="3"/>
  <c r="J179" i="3" s="1"/>
  <c r="F179" i="3"/>
  <c r="B179" i="3"/>
  <c r="S178" i="3"/>
  <c r="M178" i="3"/>
  <c r="L178" i="3"/>
  <c r="K178" i="3"/>
  <c r="N178" i="3" s="1"/>
  <c r="I178" i="3"/>
  <c r="J178" i="3" s="1"/>
  <c r="F178" i="3"/>
  <c r="B178" i="3"/>
  <c r="S177" i="3"/>
  <c r="M177" i="3"/>
  <c r="L177" i="3"/>
  <c r="K177" i="3"/>
  <c r="N177" i="3" s="1"/>
  <c r="I177" i="3"/>
  <c r="J177" i="3" s="1"/>
  <c r="F177" i="3"/>
  <c r="B177" i="3"/>
  <c r="S176" i="3"/>
  <c r="M176" i="3"/>
  <c r="L176" i="3"/>
  <c r="K176" i="3"/>
  <c r="N176" i="3" s="1"/>
  <c r="I176" i="3"/>
  <c r="J176" i="3" s="1"/>
  <c r="F176" i="3"/>
  <c r="B176" i="3"/>
  <c r="S175" i="3"/>
  <c r="M175" i="3"/>
  <c r="L175" i="3"/>
  <c r="K175" i="3"/>
  <c r="N175" i="3" s="1"/>
  <c r="I175" i="3"/>
  <c r="J175" i="3" s="1"/>
  <c r="F175" i="3"/>
  <c r="B175" i="3"/>
  <c r="S174" i="3"/>
  <c r="M174" i="3"/>
  <c r="L174" i="3"/>
  <c r="K174" i="3"/>
  <c r="N174" i="3" s="1"/>
  <c r="I174" i="3"/>
  <c r="J174" i="3" s="1"/>
  <c r="F174" i="3"/>
  <c r="B174" i="3"/>
  <c r="S173" i="3"/>
  <c r="M173" i="3"/>
  <c r="L173" i="3"/>
  <c r="K173" i="3"/>
  <c r="N173" i="3" s="1"/>
  <c r="I173" i="3"/>
  <c r="J173" i="3" s="1"/>
  <c r="F173" i="3"/>
  <c r="B173" i="3"/>
  <c r="S172" i="3"/>
  <c r="M172" i="3"/>
  <c r="L172" i="3"/>
  <c r="K172" i="3"/>
  <c r="N172" i="3" s="1"/>
  <c r="J172" i="3"/>
  <c r="I172" i="3"/>
  <c r="F172" i="3"/>
  <c r="B172" i="3"/>
  <c r="S171" i="3"/>
  <c r="M171" i="3"/>
  <c r="L171" i="3"/>
  <c r="K171" i="3"/>
  <c r="N171" i="3" s="1"/>
  <c r="I171" i="3"/>
  <c r="J171" i="3" s="1"/>
  <c r="F171" i="3"/>
  <c r="B171" i="3"/>
  <c r="S170" i="3"/>
  <c r="M170" i="3"/>
  <c r="L170" i="3"/>
  <c r="K170" i="3"/>
  <c r="N170" i="3" s="1"/>
  <c r="I170" i="3"/>
  <c r="J170" i="3" s="1"/>
  <c r="F170" i="3"/>
  <c r="B170" i="3"/>
  <c r="S169" i="3"/>
  <c r="M169" i="3"/>
  <c r="L169" i="3"/>
  <c r="K169" i="3"/>
  <c r="N169" i="3" s="1"/>
  <c r="I169" i="3"/>
  <c r="J169" i="3" s="1"/>
  <c r="F169" i="3"/>
  <c r="B169" i="3"/>
  <c r="S168" i="3"/>
  <c r="M168" i="3"/>
  <c r="L168" i="3"/>
  <c r="K168" i="3"/>
  <c r="N168" i="3" s="1"/>
  <c r="I168" i="3"/>
  <c r="J168" i="3" s="1"/>
  <c r="F168" i="3"/>
  <c r="B168" i="3"/>
  <c r="S167" i="3"/>
  <c r="M167" i="3"/>
  <c r="L167" i="3"/>
  <c r="K167" i="3"/>
  <c r="N167" i="3" s="1"/>
  <c r="I167" i="3"/>
  <c r="J167" i="3" s="1"/>
  <c r="F167" i="3"/>
  <c r="B167" i="3"/>
  <c r="S166" i="3"/>
  <c r="M166" i="3"/>
  <c r="L166" i="3"/>
  <c r="K166" i="3"/>
  <c r="N166" i="3" s="1"/>
  <c r="I166" i="3"/>
  <c r="J166" i="3" s="1"/>
  <c r="F166" i="3"/>
  <c r="B166" i="3"/>
  <c r="S165" i="3"/>
  <c r="M165" i="3"/>
  <c r="L165" i="3"/>
  <c r="K165" i="3"/>
  <c r="N165" i="3" s="1"/>
  <c r="I165" i="3"/>
  <c r="J165" i="3" s="1"/>
  <c r="F165" i="3"/>
  <c r="B165" i="3"/>
  <c r="S164" i="3"/>
  <c r="M164" i="3"/>
  <c r="L164" i="3"/>
  <c r="K164" i="3"/>
  <c r="N164" i="3" s="1"/>
  <c r="I164" i="3"/>
  <c r="J164" i="3" s="1"/>
  <c r="F164" i="3"/>
  <c r="B164" i="3"/>
  <c r="S163" i="3"/>
  <c r="M163" i="3"/>
  <c r="L163" i="3"/>
  <c r="K163" i="3"/>
  <c r="N163" i="3" s="1"/>
  <c r="I163" i="3"/>
  <c r="J163" i="3" s="1"/>
  <c r="F163" i="3"/>
  <c r="B163" i="3"/>
  <c r="S162" i="3"/>
  <c r="M162" i="3"/>
  <c r="L162" i="3"/>
  <c r="K162" i="3"/>
  <c r="N162" i="3" s="1"/>
  <c r="I162" i="3"/>
  <c r="J162" i="3" s="1"/>
  <c r="F162" i="3"/>
  <c r="B162" i="3"/>
  <c r="S161" i="3"/>
  <c r="M161" i="3"/>
  <c r="L161" i="3"/>
  <c r="K161" i="3"/>
  <c r="N161" i="3" s="1"/>
  <c r="I161" i="3"/>
  <c r="J161" i="3" s="1"/>
  <c r="F161" i="3"/>
  <c r="B161" i="3"/>
  <c r="S160" i="3"/>
  <c r="M160" i="3"/>
  <c r="L160" i="3"/>
  <c r="K160" i="3"/>
  <c r="N160" i="3" s="1"/>
  <c r="I160" i="3"/>
  <c r="J160" i="3" s="1"/>
  <c r="F160" i="3"/>
  <c r="B160" i="3"/>
  <c r="S159" i="3"/>
  <c r="M159" i="3"/>
  <c r="L159" i="3"/>
  <c r="K159" i="3"/>
  <c r="N159" i="3" s="1"/>
  <c r="I159" i="3"/>
  <c r="J159" i="3" s="1"/>
  <c r="F159" i="3"/>
  <c r="B159" i="3"/>
  <c r="S158" i="3"/>
  <c r="M158" i="3"/>
  <c r="L158" i="3"/>
  <c r="K158" i="3"/>
  <c r="N158" i="3" s="1"/>
  <c r="I158" i="3"/>
  <c r="J158" i="3" s="1"/>
  <c r="F158" i="3"/>
  <c r="B158" i="3"/>
  <c r="S157" i="3"/>
  <c r="M157" i="3"/>
  <c r="L157" i="3"/>
  <c r="K157" i="3"/>
  <c r="N157" i="3" s="1"/>
  <c r="I157" i="3"/>
  <c r="J157" i="3" s="1"/>
  <c r="F157" i="3"/>
  <c r="B157" i="3"/>
  <c r="S156" i="3"/>
  <c r="M156" i="3"/>
  <c r="L156" i="3"/>
  <c r="K156" i="3"/>
  <c r="N156" i="3" s="1"/>
  <c r="I156" i="3"/>
  <c r="J156" i="3" s="1"/>
  <c r="F156" i="3"/>
  <c r="B156" i="3"/>
  <c r="S155" i="3"/>
  <c r="M155" i="3"/>
  <c r="L155" i="3"/>
  <c r="K155" i="3"/>
  <c r="N155" i="3" s="1"/>
  <c r="J155" i="3"/>
  <c r="I155" i="3"/>
  <c r="F155" i="3"/>
  <c r="B155" i="3"/>
  <c r="S154" i="3"/>
  <c r="M154" i="3"/>
  <c r="L154" i="3"/>
  <c r="K154" i="3"/>
  <c r="N154" i="3" s="1"/>
  <c r="I154" i="3"/>
  <c r="J154" i="3" s="1"/>
  <c r="F154" i="3"/>
  <c r="B154" i="3"/>
  <c r="S153" i="3"/>
  <c r="M153" i="3"/>
  <c r="L153" i="3"/>
  <c r="K153" i="3"/>
  <c r="N153" i="3" s="1"/>
  <c r="I153" i="3"/>
  <c r="J153" i="3" s="1"/>
  <c r="F153" i="3"/>
  <c r="B153" i="3"/>
  <c r="S152" i="3"/>
  <c r="M152" i="3"/>
  <c r="L152" i="3"/>
  <c r="K152" i="3"/>
  <c r="N152" i="3" s="1"/>
  <c r="I152" i="3"/>
  <c r="J152" i="3" s="1"/>
  <c r="F152" i="3"/>
  <c r="B152" i="3"/>
  <c r="S151" i="3"/>
  <c r="M151" i="3"/>
  <c r="L151" i="3"/>
  <c r="K151" i="3"/>
  <c r="N151" i="3" s="1"/>
  <c r="I151" i="3"/>
  <c r="J151" i="3" s="1"/>
  <c r="F151" i="3"/>
  <c r="B151" i="3"/>
  <c r="S150" i="3"/>
  <c r="M150" i="3"/>
  <c r="L150" i="3"/>
  <c r="K150" i="3"/>
  <c r="N150" i="3" s="1"/>
  <c r="I150" i="3"/>
  <c r="J150" i="3" s="1"/>
  <c r="F150" i="3"/>
  <c r="B150" i="3"/>
  <c r="S149" i="3"/>
  <c r="M149" i="3"/>
  <c r="L149" i="3"/>
  <c r="K149" i="3"/>
  <c r="N149" i="3" s="1"/>
  <c r="I149" i="3"/>
  <c r="J149" i="3" s="1"/>
  <c r="F149" i="3"/>
  <c r="B149" i="3"/>
  <c r="S148" i="3"/>
  <c r="M148" i="3"/>
  <c r="L148" i="3"/>
  <c r="K148" i="3"/>
  <c r="N148" i="3" s="1"/>
  <c r="I148" i="3"/>
  <c r="J148" i="3" s="1"/>
  <c r="F148" i="3"/>
  <c r="B148" i="3"/>
  <c r="S147" i="3"/>
  <c r="M147" i="3"/>
  <c r="L147" i="3"/>
  <c r="K147" i="3"/>
  <c r="N147" i="3" s="1"/>
  <c r="I147" i="3"/>
  <c r="J147" i="3" s="1"/>
  <c r="F147" i="3"/>
  <c r="B147" i="3"/>
  <c r="S146" i="3"/>
  <c r="M146" i="3"/>
  <c r="L146" i="3"/>
  <c r="K146" i="3"/>
  <c r="N146" i="3" s="1"/>
  <c r="I146" i="3"/>
  <c r="J146" i="3" s="1"/>
  <c r="F146" i="3"/>
  <c r="B146" i="3"/>
  <c r="S145" i="3"/>
  <c r="M145" i="3"/>
  <c r="L145" i="3"/>
  <c r="K145" i="3"/>
  <c r="N145" i="3" s="1"/>
  <c r="I145" i="3"/>
  <c r="J145" i="3" s="1"/>
  <c r="F145" i="3"/>
  <c r="B145" i="3"/>
  <c r="S144" i="3"/>
  <c r="M144" i="3"/>
  <c r="L144" i="3"/>
  <c r="K144" i="3"/>
  <c r="N144" i="3" s="1"/>
  <c r="I144" i="3"/>
  <c r="J144" i="3" s="1"/>
  <c r="F144" i="3"/>
  <c r="B144" i="3"/>
  <c r="S143" i="3"/>
  <c r="M143" i="3"/>
  <c r="L143" i="3"/>
  <c r="K143" i="3"/>
  <c r="N143" i="3" s="1"/>
  <c r="I143" i="3"/>
  <c r="J143" i="3" s="1"/>
  <c r="F143" i="3"/>
  <c r="B143" i="3"/>
  <c r="S142" i="3"/>
  <c r="M142" i="3"/>
  <c r="L142" i="3"/>
  <c r="K142" i="3"/>
  <c r="N142" i="3" s="1"/>
  <c r="I142" i="3"/>
  <c r="J142" i="3" s="1"/>
  <c r="F142" i="3"/>
  <c r="B142" i="3"/>
  <c r="S141" i="3"/>
  <c r="M141" i="3"/>
  <c r="L141" i="3"/>
  <c r="K141" i="3"/>
  <c r="N141" i="3" s="1"/>
  <c r="I141" i="3"/>
  <c r="J141" i="3" s="1"/>
  <c r="F141" i="3"/>
  <c r="B141" i="3"/>
  <c r="S140" i="3"/>
  <c r="M140" i="3"/>
  <c r="L140" i="3"/>
  <c r="K140" i="3"/>
  <c r="N140" i="3" s="1"/>
  <c r="I140" i="3"/>
  <c r="J140" i="3" s="1"/>
  <c r="F140" i="3"/>
  <c r="B140" i="3"/>
  <c r="S139" i="3"/>
  <c r="M139" i="3"/>
  <c r="L139" i="3"/>
  <c r="K139" i="3"/>
  <c r="N139" i="3" s="1"/>
  <c r="I139" i="3"/>
  <c r="J139" i="3" s="1"/>
  <c r="F139" i="3"/>
  <c r="B139" i="3"/>
  <c r="S138" i="3"/>
  <c r="M138" i="3"/>
  <c r="L138" i="3"/>
  <c r="K138" i="3"/>
  <c r="N138" i="3" s="1"/>
  <c r="I138" i="3"/>
  <c r="J138" i="3" s="1"/>
  <c r="F138" i="3"/>
  <c r="B138" i="3"/>
  <c r="S137" i="3"/>
  <c r="M137" i="3"/>
  <c r="L137" i="3"/>
  <c r="K137" i="3"/>
  <c r="N137" i="3" s="1"/>
  <c r="I137" i="3"/>
  <c r="J137" i="3" s="1"/>
  <c r="F137" i="3"/>
  <c r="B137" i="3"/>
  <c r="S136" i="3"/>
  <c r="M136" i="3"/>
  <c r="L136" i="3"/>
  <c r="K136" i="3"/>
  <c r="N136" i="3" s="1"/>
  <c r="I136" i="3"/>
  <c r="J136" i="3" s="1"/>
  <c r="F136" i="3"/>
  <c r="B136" i="3"/>
  <c r="S135" i="3"/>
  <c r="M135" i="3"/>
  <c r="L135" i="3"/>
  <c r="K135" i="3"/>
  <c r="N135" i="3" s="1"/>
  <c r="I135" i="3"/>
  <c r="J135" i="3" s="1"/>
  <c r="F135" i="3"/>
  <c r="B135" i="3"/>
  <c r="S134" i="3"/>
  <c r="M134" i="3"/>
  <c r="L134" i="3"/>
  <c r="K134" i="3"/>
  <c r="N134" i="3" s="1"/>
  <c r="I134" i="3"/>
  <c r="J134" i="3" s="1"/>
  <c r="F134" i="3"/>
  <c r="B134" i="3"/>
  <c r="S133" i="3"/>
  <c r="M133" i="3"/>
  <c r="L133" i="3"/>
  <c r="K133" i="3"/>
  <c r="N133" i="3" s="1"/>
  <c r="I133" i="3"/>
  <c r="J133" i="3" s="1"/>
  <c r="F133" i="3"/>
  <c r="B133" i="3"/>
  <c r="S132" i="3"/>
  <c r="M132" i="3"/>
  <c r="L132" i="3"/>
  <c r="K132" i="3"/>
  <c r="N132" i="3" s="1"/>
  <c r="I132" i="3"/>
  <c r="J132" i="3" s="1"/>
  <c r="F132" i="3"/>
  <c r="B132" i="3"/>
  <c r="S131" i="3"/>
  <c r="M131" i="3"/>
  <c r="L131" i="3"/>
  <c r="K131" i="3"/>
  <c r="N131" i="3" s="1"/>
  <c r="I131" i="3"/>
  <c r="J131" i="3" s="1"/>
  <c r="F131" i="3"/>
  <c r="B131" i="3"/>
  <c r="S130" i="3"/>
  <c r="M130" i="3"/>
  <c r="L130" i="3"/>
  <c r="K130" i="3"/>
  <c r="N130" i="3" s="1"/>
  <c r="I130" i="3"/>
  <c r="J130" i="3" s="1"/>
  <c r="F130" i="3"/>
  <c r="B130" i="3"/>
  <c r="S129" i="3"/>
  <c r="M129" i="3"/>
  <c r="L129" i="3"/>
  <c r="K129" i="3"/>
  <c r="N129" i="3" s="1"/>
  <c r="I129" i="3"/>
  <c r="J129" i="3" s="1"/>
  <c r="F129" i="3"/>
  <c r="B129" i="3"/>
  <c r="S128" i="3"/>
  <c r="M128" i="3"/>
  <c r="L128" i="3"/>
  <c r="K128" i="3"/>
  <c r="N128" i="3" s="1"/>
  <c r="I128" i="3"/>
  <c r="J128" i="3" s="1"/>
  <c r="F128" i="3"/>
  <c r="B128" i="3"/>
  <c r="S127" i="3"/>
  <c r="M127" i="3"/>
  <c r="L127" i="3"/>
  <c r="K127" i="3"/>
  <c r="N127" i="3" s="1"/>
  <c r="I127" i="3"/>
  <c r="J127" i="3" s="1"/>
  <c r="F127" i="3"/>
  <c r="B127" i="3"/>
  <c r="S126" i="3"/>
  <c r="M126" i="3"/>
  <c r="L126" i="3"/>
  <c r="K126" i="3"/>
  <c r="N126" i="3" s="1"/>
  <c r="I126" i="3"/>
  <c r="J126" i="3" s="1"/>
  <c r="F126" i="3"/>
  <c r="B126" i="3"/>
  <c r="S125" i="3"/>
  <c r="M125" i="3"/>
  <c r="L125" i="3"/>
  <c r="K125" i="3"/>
  <c r="N125" i="3" s="1"/>
  <c r="I125" i="3"/>
  <c r="J125" i="3" s="1"/>
  <c r="F125" i="3"/>
  <c r="B125" i="3"/>
  <c r="S124" i="3"/>
  <c r="M124" i="3"/>
  <c r="L124" i="3"/>
  <c r="K124" i="3"/>
  <c r="N124" i="3" s="1"/>
  <c r="I124" i="3"/>
  <c r="J124" i="3" s="1"/>
  <c r="F124" i="3"/>
  <c r="B124" i="3"/>
  <c r="S123" i="3"/>
  <c r="M123" i="3"/>
  <c r="L123" i="3"/>
  <c r="K123" i="3"/>
  <c r="N123" i="3" s="1"/>
  <c r="I123" i="3"/>
  <c r="J123" i="3" s="1"/>
  <c r="F123" i="3"/>
  <c r="B123" i="3"/>
  <c r="S122" i="3"/>
  <c r="M122" i="3"/>
  <c r="L122" i="3"/>
  <c r="K122" i="3"/>
  <c r="N122" i="3" s="1"/>
  <c r="I122" i="3"/>
  <c r="J122" i="3" s="1"/>
  <c r="F122" i="3"/>
  <c r="B122" i="3"/>
  <c r="S121" i="3"/>
  <c r="M121" i="3"/>
  <c r="L121" i="3"/>
  <c r="K121" i="3"/>
  <c r="N121" i="3" s="1"/>
  <c r="I121" i="3"/>
  <c r="J121" i="3" s="1"/>
  <c r="F121" i="3"/>
  <c r="B121" i="3"/>
  <c r="S120" i="3"/>
  <c r="M120" i="3"/>
  <c r="L120" i="3"/>
  <c r="K120" i="3"/>
  <c r="N120" i="3" s="1"/>
  <c r="I120" i="3"/>
  <c r="J120" i="3" s="1"/>
  <c r="F120" i="3"/>
  <c r="B120" i="3"/>
  <c r="S119" i="3"/>
  <c r="M119" i="3"/>
  <c r="L119" i="3"/>
  <c r="K119" i="3"/>
  <c r="N119" i="3" s="1"/>
  <c r="I119" i="3"/>
  <c r="J119" i="3" s="1"/>
  <c r="F119" i="3"/>
  <c r="B119" i="3"/>
  <c r="S118" i="3"/>
  <c r="M118" i="3"/>
  <c r="L118" i="3"/>
  <c r="K118" i="3"/>
  <c r="N118" i="3" s="1"/>
  <c r="I118" i="3"/>
  <c r="J118" i="3" s="1"/>
  <c r="F118" i="3"/>
  <c r="B118" i="3"/>
  <c r="S117" i="3"/>
  <c r="M117" i="3"/>
  <c r="L117" i="3"/>
  <c r="K117" i="3"/>
  <c r="N117" i="3" s="1"/>
  <c r="I117" i="3"/>
  <c r="J117" i="3" s="1"/>
  <c r="F117" i="3"/>
  <c r="B117" i="3"/>
  <c r="S116" i="3"/>
  <c r="M116" i="3"/>
  <c r="L116" i="3"/>
  <c r="K116" i="3"/>
  <c r="N116" i="3" s="1"/>
  <c r="I116" i="3"/>
  <c r="J116" i="3" s="1"/>
  <c r="F116" i="3"/>
  <c r="B116" i="3"/>
  <c r="S115" i="3"/>
  <c r="M115" i="3"/>
  <c r="L115" i="3"/>
  <c r="K115" i="3"/>
  <c r="N115" i="3" s="1"/>
  <c r="I115" i="3"/>
  <c r="J115" i="3" s="1"/>
  <c r="F115" i="3"/>
  <c r="B115" i="3"/>
  <c r="S114" i="3"/>
  <c r="M114" i="3"/>
  <c r="L114" i="3"/>
  <c r="K114" i="3"/>
  <c r="N114" i="3" s="1"/>
  <c r="I114" i="3"/>
  <c r="J114" i="3" s="1"/>
  <c r="F114" i="3"/>
  <c r="B114" i="3"/>
  <c r="S113" i="3"/>
  <c r="M113" i="3"/>
  <c r="L113" i="3"/>
  <c r="K113" i="3"/>
  <c r="N113" i="3" s="1"/>
  <c r="I113" i="3"/>
  <c r="J113" i="3" s="1"/>
  <c r="F113" i="3"/>
  <c r="B113" i="3"/>
  <c r="S112" i="3"/>
  <c r="M112" i="3"/>
  <c r="L112" i="3"/>
  <c r="K112" i="3"/>
  <c r="N112" i="3" s="1"/>
  <c r="I112" i="3"/>
  <c r="J112" i="3" s="1"/>
  <c r="F112" i="3"/>
  <c r="B112" i="3"/>
  <c r="S111" i="3"/>
  <c r="N111" i="3"/>
  <c r="M111" i="3"/>
  <c r="L111" i="3"/>
  <c r="K111" i="3"/>
  <c r="I111" i="3"/>
  <c r="J111" i="3" s="1"/>
  <c r="F111" i="3"/>
  <c r="B111" i="3"/>
  <c r="S110" i="3"/>
  <c r="M110" i="3"/>
  <c r="L110" i="3"/>
  <c r="K110" i="3"/>
  <c r="N110" i="3" s="1"/>
  <c r="I110" i="3"/>
  <c r="J110" i="3" s="1"/>
  <c r="F110" i="3"/>
  <c r="B110" i="3"/>
  <c r="S109" i="3"/>
  <c r="M109" i="3"/>
  <c r="L109" i="3"/>
  <c r="K109" i="3"/>
  <c r="N109" i="3" s="1"/>
  <c r="I109" i="3"/>
  <c r="J109" i="3" s="1"/>
  <c r="F109" i="3"/>
  <c r="B109" i="3"/>
  <c r="S108" i="3"/>
  <c r="M108" i="3"/>
  <c r="L108" i="3"/>
  <c r="K108" i="3"/>
  <c r="N108" i="3" s="1"/>
  <c r="I108" i="3"/>
  <c r="J108" i="3" s="1"/>
  <c r="F108" i="3"/>
  <c r="B108" i="3"/>
  <c r="S107" i="3"/>
  <c r="M107" i="3"/>
  <c r="L107" i="3"/>
  <c r="K107" i="3"/>
  <c r="N107" i="3" s="1"/>
  <c r="I107" i="3"/>
  <c r="J107" i="3" s="1"/>
  <c r="F107" i="3"/>
  <c r="B107" i="3"/>
  <c r="S106" i="3"/>
  <c r="M106" i="3"/>
  <c r="L106" i="3"/>
  <c r="K106" i="3"/>
  <c r="N106" i="3" s="1"/>
  <c r="I106" i="3"/>
  <c r="J106" i="3" s="1"/>
  <c r="F106" i="3"/>
  <c r="B106" i="3"/>
  <c r="S105" i="3"/>
  <c r="M105" i="3"/>
  <c r="L105" i="3"/>
  <c r="K105" i="3"/>
  <c r="N105" i="3" s="1"/>
  <c r="I105" i="3"/>
  <c r="J105" i="3" s="1"/>
  <c r="F105" i="3"/>
  <c r="B105" i="3"/>
  <c r="S104" i="3"/>
  <c r="M104" i="3"/>
  <c r="L104" i="3"/>
  <c r="K104" i="3"/>
  <c r="N104" i="3" s="1"/>
  <c r="I104" i="3"/>
  <c r="J104" i="3" s="1"/>
  <c r="F104" i="3"/>
  <c r="B104" i="3"/>
  <c r="S103" i="3"/>
  <c r="M103" i="3"/>
  <c r="L103" i="3"/>
  <c r="K103" i="3"/>
  <c r="N103" i="3" s="1"/>
  <c r="I103" i="3"/>
  <c r="J103" i="3" s="1"/>
  <c r="F103" i="3"/>
  <c r="B103" i="3"/>
  <c r="S102" i="3"/>
  <c r="M102" i="3"/>
  <c r="L102" i="3"/>
  <c r="K102" i="3"/>
  <c r="N102" i="3" s="1"/>
  <c r="I102" i="3"/>
  <c r="J102" i="3" s="1"/>
  <c r="F102" i="3"/>
  <c r="B102" i="3"/>
  <c r="S101" i="3"/>
  <c r="M101" i="3"/>
  <c r="L101" i="3"/>
  <c r="K101" i="3"/>
  <c r="N101" i="3" s="1"/>
  <c r="I101" i="3"/>
  <c r="J101" i="3" s="1"/>
  <c r="F101" i="3"/>
  <c r="B101" i="3"/>
  <c r="S100" i="3"/>
  <c r="M100" i="3"/>
  <c r="L100" i="3"/>
  <c r="K100" i="3"/>
  <c r="N100" i="3" s="1"/>
  <c r="I100" i="3"/>
  <c r="J100" i="3" s="1"/>
  <c r="F100" i="3"/>
  <c r="B100" i="3"/>
  <c r="S99" i="3"/>
  <c r="M99" i="3"/>
  <c r="L99" i="3"/>
  <c r="K99" i="3"/>
  <c r="N99" i="3" s="1"/>
  <c r="I99" i="3"/>
  <c r="J99" i="3" s="1"/>
  <c r="F99" i="3"/>
  <c r="B99" i="3"/>
  <c r="S98" i="3"/>
  <c r="M98" i="3"/>
  <c r="L98" i="3"/>
  <c r="K98" i="3"/>
  <c r="N98" i="3" s="1"/>
  <c r="I98" i="3"/>
  <c r="J98" i="3" s="1"/>
  <c r="F98" i="3"/>
  <c r="B98" i="3"/>
  <c r="S97" i="3"/>
  <c r="M97" i="3"/>
  <c r="L97" i="3"/>
  <c r="K97" i="3"/>
  <c r="N97" i="3" s="1"/>
  <c r="I97" i="3"/>
  <c r="J97" i="3" s="1"/>
  <c r="F97" i="3"/>
  <c r="B97" i="3"/>
  <c r="S96" i="3"/>
  <c r="M96" i="3"/>
  <c r="L96" i="3"/>
  <c r="K96" i="3"/>
  <c r="N96" i="3" s="1"/>
  <c r="I96" i="3"/>
  <c r="J96" i="3" s="1"/>
  <c r="F96" i="3"/>
  <c r="B96" i="3"/>
  <c r="S95" i="3"/>
  <c r="M95" i="3"/>
  <c r="L95" i="3"/>
  <c r="K95" i="3"/>
  <c r="N95" i="3" s="1"/>
  <c r="I95" i="3"/>
  <c r="J95" i="3" s="1"/>
  <c r="F95" i="3"/>
  <c r="B95" i="3"/>
  <c r="S94" i="3"/>
  <c r="M94" i="3"/>
  <c r="L94" i="3"/>
  <c r="K94" i="3"/>
  <c r="N94" i="3" s="1"/>
  <c r="I94" i="3"/>
  <c r="J94" i="3" s="1"/>
  <c r="F94" i="3"/>
  <c r="B94" i="3"/>
  <c r="S93" i="3"/>
  <c r="M93" i="3"/>
  <c r="L93" i="3"/>
  <c r="K93" i="3"/>
  <c r="N93" i="3" s="1"/>
  <c r="I93" i="3"/>
  <c r="J93" i="3" s="1"/>
  <c r="F93" i="3"/>
  <c r="B93" i="3"/>
  <c r="S92" i="3"/>
  <c r="M92" i="3"/>
  <c r="L92" i="3"/>
  <c r="K92" i="3"/>
  <c r="N92" i="3" s="1"/>
  <c r="I92" i="3"/>
  <c r="J92" i="3" s="1"/>
  <c r="F92" i="3"/>
  <c r="B92" i="3"/>
  <c r="S91" i="3"/>
  <c r="M91" i="3"/>
  <c r="L91" i="3"/>
  <c r="K91" i="3"/>
  <c r="N91" i="3" s="1"/>
  <c r="I91" i="3"/>
  <c r="J91" i="3" s="1"/>
  <c r="F91" i="3"/>
  <c r="B91" i="3"/>
  <c r="S90" i="3"/>
  <c r="M90" i="3"/>
  <c r="L90" i="3"/>
  <c r="K90" i="3"/>
  <c r="N90" i="3" s="1"/>
  <c r="I90" i="3"/>
  <c r="J90" i="3" s="1"/>
  <c r="F90" i="3"/>
  <c r="B90" i="3"/>
  <c r="S89" i="3"/>
  <c r="M89" i="3"/>
  <c r="L89" i="3"/>
  <c r="K89" i="3"/>
  <c r="N89" i="3" s="1"/>
  <c r="I89" i="3"/>
  <c r="J89" i="3" s="1"/>
  <c r="F89" i="3"/>
  <c r="B89" i="3"/>
  <c r="S88" i="3"/>
  <c r="M88" i="3"/>
  <c r="L88" i="3"/>
  <c r="K88" i="3"/>
  <c r="N88" i="3" s="1"/>
  <c r="I88" i="3"/>
  <c r="J88" i="3" s="1"/>
  <c r="F88" i="3"/>
  <c r="B88" i="3"/>
  <c r="S87" i="3"/>
  <c r="M87" i="3"/>
  <c r="L87" i="3"/>
  <c r="K87" i="3"/>
  <c r="N87" i="3" s="1"/>
  <c r="I87" i="3"/>
  <c r="J87" i="3" s="1"/>
  <c r="F87" i="3"/>
  <c r="B87" i="3"/>
  <c r="S86" i="3"/>
  <c r="M86" i="3"/>
  <c r="L86" i="3"/>
  <c r="K86" i="3"/>
  <c r="N86" i="3" s="1"/>
  <c r="I86" i="3"/>
  <c r="J86" i="3" s="1"/>
  <c r="F86" i="3"/>
  <c r="B86" i="3"/>
  <c r="S85" i="3"/>
  <c r="M85" i="3"/>
  <c r="L85" i="3"/>
  <c r="K85" i="3"/>
  <c r="N85" i="3" s="1"/>
  <c r="I85" i="3"/>
  <c r="J85" i="3" s="1"/>
  <c r="F85" i="3"/>
  <c r="B85" i="3"/>
  <c r="S84" i="3"/>
  <c r="M84" i="3"/>
  <c r="L84" i="3"/>
  <c r="K84" i="3"/>
  <c r="N84" i="3" s="1"/>
  <c r="I84" i="3"/>
  <c r="J84" i="3" s="1"/>
  <c r="F84" i="3"/>
  <c r="B84" i="3"/>
  <c r="S83" i="3"/>
  <c r="M83" i="3"/>
  <c r="L83" i="3"/>
  <c r="K83" i="3"/>
  <c r="N83" i="3" s="1"/>
  <c r="I83" i="3"/>
  <c r="J83" i="3" s="1"/>
  <c r="F83" i="3"/>
  <c r="B83" i="3"/>
  <c r="S82" i="3"/>
  <c r="M82" i="3"/>
  <c r="L82" i="3"/>
  <c r="K82" i="3"/>
  <c r="N82" i="3" s="1"/>
  <c r="I82" i="3"/>
  <c r="J82" i="3" s="1"/>
  <c r="F82" i="3"/>
  <c r="B82" i="3"/>
  <c r="S81" i="3"/>
  <c r="M81" i="3"/>
  <c r="L81" i="3"/>
  <c r="K81" i="3"/>
  <c r="N81" i="3" s="1"/>
  <c r="I81" i="3"/>
  <c r="J81" i="3" s="1"/>
  <c r="F81" i="3"/>
  <c r="B81" i="3"/>
  <c r="S80" i="3"/>
  <c r="M80" i="3"/>
  <c r="L80" i="3"/>
  <c r="K80" i="3"/>
  <c r="N80" i="3" s="1"/>
  <c r="I80" i="3"/>
  <c r="J80" i="3" s="1"/>
  <c r="F80" i="3"/>
  <c r="B80" i="3"/>
  <c r="S79" i="3"/>
  <c r="M79" i="3"/>
  <c r="L79" i="3"/>
  <c r="K79" i="3"/>
  <c r="N79" i="3" s="1"/>
  <c r="I79" i="3"/>
  <c r="J79" i="3" s="1"/>
  <c r="F79" i="3"/>
  <c r="B79" i="3"/>
  <c r="S78" i="3"/>
  <c r="M78" i="3"/>
  <c r="L78" i="3"/>
  <c r="K78" i="3"/>
  <c r="N78" i="3" s="1"/>
  <c r="I78" i="3"/>
  <c r="J78" i="3" s="1"/>
  <c r="F78" i="3"/>
  <c r="B78" i="3"/>
  <c r="S77" i="3"/>
  <c r="M77" i="3"/>
  <c r="L77" i="3"/>
  <c r="K77" i="3"/>
  <c r="N77" i="3" s="1"/>
  <c r="I77" i="3"/>
  <c r="J77" i="3" s="1"/>
  <c r="F77" i="3"/>
  <c r="B77" i="3"/>
  <c r="S76" i="3"/>
  <c r="M76" i="3"/>
  <c r="L76" i="3"/>
  <c r="K76" i="3"/>
  <c r="N76" i="3" s="1"/>
  <c r="I76" i="3"/>
  <c r="J76" i="3" s="1"/>
  <c r="F76" i="3"/>
  <c r="B76" i="3"/>
  <c r="S75" i="3"/>
  <c r="M75" i="3"/>
  <c r="L75" i="3"/>
  <c r="K75" i="3"/>
  <c r="N75" i="3" s="1"/>
  <c r="I75" i="3"/>
  <c r="J75" i="3" s="1"/>
  <c r="F75" i="3"/>
  <c r="B75" i="3"/>
  <c r="S74" i="3"/>
  <c r="M74" i="3"/>
  <c r="L74" i="3"/>
  <c r="K74" i="3"/>
  <c r="N74" i="3" s="1"/>
  <c r="I74" i="3"/>
  <c r="J74" i="3" s="1"/>
  <c r="F74" i="3"/>
  <c r="B74" i="3"/>
  <c r="S73" i="3"/>
  <c r="M73" i="3"/>
  <c r="L73" i="3"/>
  <c r="K73" i="3"/>
  <c r="N73" i="3" s="1"/>
  <c r="I73" i="3"/>
  <c r="J73" i="3" s="1"/>
  <c r="F73" i="3"/>
  <c r="B73" i="3"/>
  <c r="S72" i="3"/>
  <c r="M72" i="3"/>
  <c r="L72" i="3"/>
  <c r="K72" i="3"/>
  <c r="N72" i="3" s="1"/>
  <c r="I72" i="3"/>
  <c r="J72" i="3" s="1"/>
  <c r="F72" i="3"/>
  <c r="B72" i="3"/>
  <c r="S71" i="3"/>
  <c r="M71" i="3"/>
  <c r="L71" i="3"/>
  <c r="K71" i="3"/>
  <c r="N71" i="3" s="1"/>
  <c r="I71" i="3"/>
  <c r="J71" i="3" s="1"/>
  <c r="F71" i="3"/>
  <c r="B71" i="3"/>
  <c r="S70" i="3"/>
  <c r="M70" i="3"/>
  <c r="L70" i="3"/>
  <c r="K70" i="3"/>
  <c r="N70" i="3" s="1"/>
  <c r="I70" i="3"/>
  <c r="J70" i="3" s="1"/>
  <c r="F70" i="3"/>
  <c r="B70" i="3"/>
  <c r="S69" i="3"/>
  <c r="M69" i="3"/>
  <c r="L69" i="3"/>
  <c r="K69" i="3"/>
  <c r="N69" i="3" s="1"/>
  <c r="I69" i="3"/>
  <c r="J69" i="3" s="1"/>
  <c r="F69" i="3"/>
  <c r="B69" i="3"/>
  <c r="S68" i="3"/>
  <c r="M68" i="3"/>
  <c r="L68" i="3"/>
  <c r="K68" i="3"/>
  <c r="N68" i="3" s="1"/>
  <c r="I68" i="3"/>
  <c r="J68" i="3" s="1"/>
  <c r="F68" i="3"/>
  <c r="B68" i="3"/>
  <c r="S67" i="3"/>
  <c r="M67" i="3"/>
  <c r="L67" i="3"/>
  <c r="K67" i="3"/>
  <c r="N67" i="3" s="1"/>
  <c r="I67" i="3"/>
  <c r="J67" i="3" s="1"/>
  <c r="F67" i="3"/>
  <c r="B67" i="3"/>
  <c r="S66" i="3"/>
  <c r="M66" i="3"/>
  <c r="L66" i="3"/>
  <c r="K66" i="3"/>
  <c r="N66" i="3" s="1"/>
  <c r="I66" i="3"/>
  <c r="J66" i="3" s="1"/>
  <c r="F66" i="3"/>
  <c r="B66" i="3"/>
  <c r="S65" i="3"/>
  <c r="M65" i="3"/>
  <c r="L65" i="3"/>
  <c r="K65" i="3"/>
  <c r="N65" i="3" s="1"/>
  <c r="I65" i="3"/>
  <c r="J65" i="3" s="1"/>
  <c r="F65" i="3"/>
  <c r="B65" i="3"/>
  <c r="S64" i="3"/>
  <c r="M64" i="3"/>
  <c r="L64" i="3"/>
  <c r="K64" i="3"/>
  <c r="N64" i="3" s="1"/>
  <c r="I64" i="3"/>
  <c r="J64" i="3" s="1"/>
  <c r="F64" i="3"/>
  <c r="B64" i="3"/>
  <c r="S63" i="3"/>
  <c r="M63" i="3"/>
  <c r="L63" i="3"/>
  <c r="K63" i="3"/>
  <c r="N63" i="3" s="1"/>
  <c r="I63" i="3"/>
  <c r="J63" i="3" s="1"/>
  <c r="F63" i="3"/>
  <c r="B63" i="3"/>
  <c r="S62" i="3"/>
  <c r="M62" i="3"/>
  <c r="L62" i="3"/>
  <c r="K62" i="3"/>
  <c r="N62" i="3" s="1"/>
  <c r="I62" i="3"/>
  <c r="J62" i="3" s="1"/>
  <c r="F62" i="3"/>
  <c r="B62" i="3"/>
  <c r="S61" i="3"/>
  <c r="M61" i="3"/>
  <c r="L61" i="3"/>
  <c r="K61" i="3"/>
  <c r="N61" i="3" s="1"/>
  <c r="I61" i="3"/>
  <c r="J61" i="3" s="1"/>
  <c r="F61" i="3"/>
  <c r="B61" i="3"/>
  <c r="S60" i="3"/>
  <c r="M60" i="3"/>
  <c r="L60" i="3"/>
  <c r="K60" i="3"/>
  <c r="N60" i="3" s="1"/>
  <c r="I60" i="3"/>
  <c r="J60" i="3" s="1"/>
  <c r="F60" i="3"/>
  <c r="B60" i="3"/>
  <c r="S59" i="3"/>
  <c r="M59" i="3"/>
  <c r="L59" i="3"/>
  <c r="K59" i="3"/>
  <c r="N59" i="3" s="1"/>
  <c r="I59" i="3"/>
  <c r="J59" i="3" s="1"/>
  <c r="F59" i="3"/>
  <c r="B59" i="3"/>
  <c r="S58" i="3"/>
  <c r="M58" i="3"/>
  <c r="L58" i="3"/>
  <c r="K58" i="3"/>
  <c r="N58" i="3" s="1"/>
  <c r="I58" i="3"/>
  <c r="J58" i="3" s="1"/>
  <c r="F58" i="3"/>
  <c r="B58" i="3"/>
  <c r="S57" i="3"/>
  <c r="M57" i="3"/>
  <c r="L57" i="3"/>
  <c r="K57" i="3"/>
  <c r="N57" i="3" s="1"/>
  <c r="I57" i="3"/>
  <c r="J57" i="3" s="1"/>
  <c r="F57" i="3"/>
  <c r="B57" i="3"/>
  <c r="S56" i="3"/>
  <c r="M56" i="3"/>
  <c r="L56" i="3"/>
  <c r="K56" i="3"/>
  <c r="N56" i="3" s="1"/>
  <c r="I56" i="3"/>
  <c r="J56" i="3" s="1"/>
  <c r="F56" i="3"/>
  <c r="B56" i="3"/>
  <c r="S55" i="3"/>
  <c r="M55" i="3"/>
  <c r="L55" i="3"/>
  <c r="K55" i="3"/>
  <c r="N55" i="3" s="1"/>
  <c r="I55" i="3"/>
  <c r="J55" i="3" s="1"/>
  <c r="F55" i="3"/>
  <c r="B55" i="3"/>
  <c r="S54" i="3"/>
  <c r="M54" i="3"/>
  <c r="L54" i="3"/>
  <c r="K54" i="3"/>
  <c r="N54" i="3" s="1"/>
  <c r="I54" i="3"/>
  <c r="J54" i="3" s="1"/>
  <c r="F54" i="3"/>
  <c r="B54" i="3"/>
  <c r="S53" i="3"/>
  <c r="M53" i="3"/>
  <c r="L53" i="3"/>
  <c r="K53" i="3"/>
  <c r="N53" i="3" s="1"/>
  <c r="I53" i="3"/>
  <c r="J53" i="3" s="1"/>
  <c r="F53" i="3"/>
  <c r="B53" i="3"/>
  <c r="S52" i="3"/>
  <c r="M52" i="3"/>
  <c r="L52" i="3"/>
  <c r="K52" i="3"/>
  <c r="N52" i="3" s="1"/>
  <c r="I52" i="3"/>
  <c r="J52" i="3" s="1"/>
  <c r="F52" i="3"/>
  <c r="B52" i="3"/>
  <c r="S51" i="3"/>
  <c r="M51" i="3"/>
  <c r="L51" i="3"/>
  <c r="K51" i="3"/>
  <c r="N51" i="3" s="1"/>
  <c r="I51" i="3"/>
  <c r="J51" i="3" s="1"/>
  <c r="F51" i="3"/>
  <c r="B51" i="3"/>
  <c r="S50" i="3"/>
  <c r="M50" i="3"/>
  <c r="L50" i="3"/>
  <c r="K50" i="3"/>
  <c r="N50" i="3" s="1"/>
  <c r="I50" i="3"/>
  <c r="J50" i="3" s="1"/>
  <c r="F50" i="3"/>
  <c r="B50" i="3"/>
  <c r="S49" i="3"/>
  <c r="M49" i="3"/>
  <c r="L49" i="3"/>
  <c r="K49" i="3"/>
  <c r="N49" i="3" s="1"/>
  <c r="I49" i="3"/>
  <c r="J49" i="3" s="1"/>
  <c r="F49" i="3"/>
  <c r="B49" i="3"/>
  <c r="S48" i="3"/>
  <c r="M48" i="3"/>
  <c r="L48" i="3"/>
  <c r="K48" i="3"/>
  <c r="N48" i="3" s="1"/>
  <c r="I48" i="3"/>
  <c r="J48" i="3" s="1"/>
  <c r="F48" i="3"/>
  <c r="B48" i="3"/>
  <c r="S47" i="3"/>
  <c r="M47" i="3"/>
  <c r="L47" i="3"/>
  <c r="K47" i="3"/>
  <c r="N47" i="3" s="1"/>
  <c r="I47" i="3"/>
  <c r="J47" i="3" s="1"/>
  <c r="F47" i="3"/>
  <c r="B47" i="3"/>
  <c r="S46" i="3"/>
  <c r="M46" i="3"/>
  <c r="L46" i="3"/>
  <c r="K46" i="3"/>
  <c r="N46" i="3" s="1"/>
  <c r="I46" i="3"/>
  <c r="J46" i="3" s="1"/>
  <c r="F46" i="3"/>
  <c r="B46" i="3"/>
  <c r="S45" i="3"/>
  <c r="M45" i="3"/>
  <c r="L45" i="3"/>
  <c r="K45" i="3"/>
  <c r="N45" i="3" s="1"/>
  <c r="I45" i="3"/>
  <c r="J45" i="3" s="1"/>
  <c r="F45" i="3"/>
  <c r="B45" i="3"/>
  <c r="S44" i="3"/>
  <c r="M44" i="3"/>
  <c r="L44" i="3"/>
  <c r="K44" i="3"/>
  <c r="N44" i="3" s="1"/>
  <c r="I44" i="3"/>
  <c r="J44" i="3" s="1"/>
  <c r="F44" i="3"/>
  <c r="B44" i="3"/>
  <c r="S43" i="3"/>
  <c r="M43" i="3"/>
  <c r="L43" i="3"/>
  <c r="K43" i="3"/>
  <c r="N43" i="3" s="1"/>
  <c r="I43" i="3"/>
  <c r="J43" i="3" s="1"/>
  <c r="F43" i="3"/>
  <c r="B43" i="3"/>
  <c r="S42" i="3"/>
  <c r="M42" i="3"/>
  <c r="L42" i="3"/>
  <c r="K42" i="3"/>
  <c r="N42" i="3" s="1"/>
  <c r="I42" i="3"/>
  <c r="J42" i="3" s="1"/>
  <c r="F42" i="3"/>
  <c r="B42" i="3"/>
  <c r="S41" i="3"/>
  <c r="M41" i="3"/>
  <c r="L41" i="3"/>
  <c r="K41" i="3"/>
  <c r="N41" i="3" s="1"/>
  <c r="I41" i="3"/>
  <c r="J41" i="3" s="1"/>
  <c r="F41" i="3"/>
  <c r="B41" i="3"/>
  <c r="S40" i="3"/>
  <c r="M40" i="3"/>
  <c r="L40" i="3"/>
  <c r="K40" i="3"/>
  <c r="N40" i="3" s="1"/>
  <c r="I40" i="3"/>
  <c r="J40" i="3" s="1"/>
  <c r="F40" i="3"/>
  <c r="B40" i="3"/>
  <c r="S39" i="3"/>
  <c r="N39" i="3"/>
  <c r="M39" i="3"/>
  <c r="L39" i="3"/>
  <c r="K39" i="3"/>
  <c r="I39" i="3"/>
  <c r="J39" i="3" s="1"/>
  <c r="F39" i="3"/>
  <c r="B39" i="3"/>
  <c r="S38" i="3"/>
  <c r="M38" i="3"/>
  <c r="L38" i="3"/>
  <c r="K38" i="3"/>
  <c r="N38" i="3" s="1"/>
  <c r="I38" i="3"/>
  <c r="J38" i="3" s="1"/>
  <c r="F38" i="3"/>
  <c r="B38" i="3"/>
  <c r="S37" i="3"/>
  <c r="M37" i="3"/>
  <c r="L37" i="3"/>
  <c r="K37" i="3"/>
  <c r="N37" i="3" s="1"/>
  <c r="I37" i="3"/>
  <c r="J37" i="3" s="1"/>
  <c r="F37" i="3"/>
  <c r="B37" i="3"/>
  <c r="S36" i="3"/>
  <c r="M36" i="3"/>
  <c r="L36" i="3"/>
  <c r="K36" i="3"/>
  <c r="N36" i="3" s="1"/>
  <c r="I36" i="3"/>
  <c r="J36" i="3" s="1"/>
  <c r="F36" i="3"/>
  <c r="B36" i="3"/>
  <c r="S35" i="3"/>
  <c r="M35" i="3"/>
  <c r="L35" i="3"/>
  <c r="K35" i="3"/>
  <c r="N35" i="3" s="1"/>
  <c r="I35" i="3"/>
  <c r="J35" i="3" s="1"/>
  <c r="F35" i="3"/>
  <c r="B35" i="3"/>
  <c r="S34" i="3"/>
  <c r="M34" i="3"/>
  <c r="L34" i="3"/>
  <c r="K34" i="3"/>
  <c r="N34" i="3" s="1"/>
  <c r="I34" i="3"/>
  <c r="J34" i="3" s="1"/>
  <c r="F34" i="3"/>
  <c r="B34" i="3"/>
  <c r="S33" i="3"/>
  <c r="M33" i="3"/>
  <c r="L33" i="3"/>
  <c r="K33" i="3"/>
  <c r="N33" i="3" s="1"/>
  <c r="I33" i="3"/>
  <c r="J33" i="3" s="1"/>
  <c r="F33" i="3"/>
  <c r="B33" i="3"/>
  <c r="S32" i="3"/>
  <c r="M32" i="3"/>
  <c r="L32" i="3"/>
  <c r="K32" i="3"/>
  <c r="N32" i="3" s="1"/>
  <c r="I32" i="3"/>
  <c r="J32" i="3" s="1"/>
  <c r="F32" i="3"/>
  <c r="B32" i="3"/>
  <c r="S31" i="3"/>
  <c r="M31" i="3"/>
  <c r="L31" i="3"/>
  <c r="K31" i="3"/>
  <c r="N31" i="3" s="1"/>
  <c r="I31" i="3"/>
  <c r="J31" i="3" s="1"/>
  <c r="F31" i="3"/>
  <c r="B31" i="3"/>
  <c r="S30" i="3"/>
  <c r="M30" i="3"/>
  <c r="L30" i="3"/>
  <c r="K30" i="3"/>
  <c r="N30" i="3" s="1"/>
  <c r="I30" i="3"/>
  <c r="J30" i="3" s="1"/>
  <c r="F30" i="3"/>
  <c r="B30" i="3"/>
  <c r="S29" i="3"/>
  <c r="M29" i="3"/>
  <c r="L29" i="3"/>
  <c r="K29" i="3"/>
  <c r="N29" i="3" s="1"/>
  <c r="I29" i="3"/>
  <c r="J29" i="3" s="1"/>
  <c r="F29" i="3"/>
  <c r="B29" i="3"/>
  <c r="S28" i="3"/>
  <c r="M28" i="3"/>
  <c r="L28" i="3"/>
  <c r="K28" i="3"/>
  <c r="N28" i="3" s="1"/>
  <c r="I28" i="3"/>
  <c r="J28" i="3" s="1"/>
  <c r="F28" i="3"/>
  <c r="B28" i="3"/>
  <c r="S27" i="3"/>
  <c r="M27" i="3"/>
  <c r="L27" i="3"/>
  <c r="K27" i="3"/>
  <c r="N27" i="3" s="1"/>
  <c r="I27" i="3"/>
  <c r="J27" i="3" s="1"/>
  <c r="F27" i="3"/>
  <c r="B27" i="3"/>
  <c r="S26" i="3"/>
  <c r="M26" i="3"/>
  <c r="L26" i="3"/>
  <c r="K26" i="3"/>
  <c r="N26" i="3" s="1"/>
  <c r="I26" i="3"/>
  <c r="J26" i="3" s="1"/>
  <c r="F26" i="3"/>
  <c r="B26" i="3"/>
  <c r="S25" i="3"/>
  <c r="M25" i="3"/>
  <c r="L25" i="3"/>
  <c r="K25" i="3"/>
  <c r="N25" i="3" s="1"/>
  <c r="I25" i="3"/>
  <c r="J25" i="3" s="1"/>
  <c r="F25" i="3"/>
  <c r="B25" i="3"/>
  <c r="S24" i="3"/>
  <c r="M24" i="3"/>
  <c r="L24" i="3"/>
  <c r="K24" i="3"/>
  <c r="N24" i="3" s="1"/>
  <c r="I24" i="3"/>
  <c r="J24" i="3" s="1"/>
  <c r="F24" i="3"/>
  <c r="B24" i="3"/>
  <c r="S23" i="3"/>
  <c r="M23" i="3"/>
  <c r="L23" i="3"/>
  <c r="K23" i="3"/>
  <c r="N23" i="3" s="1"/>
  <c r="I23" i="3"/>
  <c r="J23" i="3" s="1"/>
  <c r="F23" i="3"/>
  <c r="B23" i="3"/>
  <c r="S22" i="3"/>
  <c r="M22" i="3"/>
  <c r="L22" i="3"/>
  <c r="K22" i="3"/>
  <c r="N22" i="3" s="1"/>
  <c r="I22" i="3"/>
  <c r="J22" i="3" s="1"/>
  <c r="F22" i="3"/>
  <c r="B22" i="3"/>
  <c r="S21" i="3"/>
  <c r="M21" i="3"/>
  <c r="L21" i="3"/>
  <c r="K21" i="3"/>
  <c r="N21" i="3" s="1"/>
  <c r="I21" i="3"/>
  <c r="J21" i="3" s="1"/>
  <c r="F21" i="3"/>
  <c r="B21" i="3"/>
  <c r="S20" i="3"/>
  <c r="M20" i="3"/>
  <c r="L20" i="3"/>
  <c r="K20" i="3"/>
  <c r="N20" i="3" s="1"/>
  <c r="I20" i="3"/>
  <c r="J20" i="3" s="1"/>
  <c r="F20" i="3"/>
  <c r="B20" i="3"/>
  <c r="S19" i="3"/>
  <c r="M19" i="3"/>
  <c r="L19" i="3"/>
  <c r="K19" i="3"/>
  <c r="N19" i="3" s="1"/>
  <c r="I19" i="3"/>
  <c r="J19" i="3" s="1"/>
  <c r="F19" i="3"/>
  <c r="B19" i="3"/>
  <c r="S18" i="3"/>
  <c r="M18" i="3"/>
  <c r="L18" i="3"/>
  <c r="K18" i="3"/>
  <c r="N18" i="3" s="1"/>
  <c r="I18" i="3"/>
  <c r="J18" i="3" s="1"/>
  <c r="F18" i="3"/>
  <c r="B18" i="3"/>
  <c r="S17" i="3"/>
  <c r="M17" i="3"/>
  <c r="L17" i="3"/>
  <c r="K17" i="3"/>
  <c r="N17" i="3" s="1"/>
  <c r="I17" i="3"/>
  <c r="J17" i="3" s="1"/>
  <c r="F17" i="3"/>
  <c r="B17" i="3"/>
  <c r="S16" i="3"/>
  <c r="M16" i="3"/>
  <c r="L16" i="3"/>
  <c r="K16" i="3"/>
  <c r="N16" i="3" s="1"/>
  <c r="I16" i="3"/>
  <c r="J16" i="3" s="1"/>
  <c r="F16" i="3"/>
  <c r="B16" i="3"/>
  <c r="S15" i="3"/>
  <c r="M15" i="3"/>
  <c r="L15" i="3"/>
  <c r="K15" i="3"/>
  <c r="N15" i="3" s="1"/>
  <c r="I15" i="3"/>
  <c r="J15" i="3" s="1"/>
  <c r="F15" i="3"/>
  <c r="B15" i="3"/>
  <c r="S14" i="3"/>
  <c r="M14" i="3"/>
  <c r="L14" i="3"/>
  <c r="K14" i="3"/>
  <c r="N14" i="3" s="1"/>
  <c r="I14" i="3"/>
  <c r="J14" i="3" s="1"/>
  <c r="F14" i="3"/>
  <c r="B14" i="3"/>
  <c r="S13" i="3"/>
  <c r="M13" i="3"/>
  <c r="L13" i="3"/>
  <c r="K13" i="3"/>
  <c r="N13" i="3" s="1"/>
  <c r="I13" i="3"/>
  <c r="J13" i="3" s="1"/>
  <c r="F13" i="3"/>
  <c r="B13" i="3"/>
  <c r="S12" i="3"/>
  <c r="M12" i="3"/>
  <c r="L12" i="3"/>
  <c r="K12" i="3"/>
  <c r="N12" i="3" s="1"/>
  <c r="I12" i="3"/>
  <c r="J12" i="3" s="1"/>
  <c r="F12" i="3"/>
  <c r="B12" i="3"/>
  <c r="S11" i="3"/>
  <c r="M11" i="3"/>
  <c r="L11" i="3"/>
  <c r="K11" i="3"/>
  <c r="N11" i="3" s="1"/>
  <c r="I11" i="3"/>
  <c r="J11" i="3" s="1"/>
  <c r="F11" i="3"/>
  <c r="B11" i="3"/>
  <c r="S10" i="3"/>
  <c r="M10" i="3"/>
  <c r="L10" i="3"/>
  <c r="K10" i="3"/>
  <c r="N10" i="3" s="1"/>
  <c r="I10" i="3"/>
  <c r="J10" i="3" s="1"/>
  <c r="F10" i="3"/>
  <c r="B10" i="3"/>
  <c r="S9" i="3"/>
  <c r="M9" i="3"/>
  <c r="L9" i="3"/>
  <c r="K9" i="3"/>
  <c r="N9" i="3" s="1"/>
  <c r="I9" i="3"/>
  <c r="J9" i="3" s="1"/>
  <c r="F9" i="3"/>
  <c r="B9" i="3"/>
  <c r="S8" i="3"/>
  <c r="M8" i="3"/>
  <c r="L8" i="3"/>
  <c r="K8" i="3"/>
  <c r="N8" i="3" s="1"/>
  <c r="I8" i="3"/>
  <c r="J8" i="3" s="1"/>
  <c r="F8" i="3"/>
  <c r="B8" i="3"/>
  <c r="S7" i="3"/>
  <c r="M7" i="3"/>
  <c r="L7" i="3"/>
  <c r="K7" i="3"/>
  <c r="N7" i="3" s="1"/>
  <c r="I7" i="3"/>
  <c r="J7" i="3" s="1"/>
  <c r="F7" i="3"/>
  <c r="B7" i="3"/>
  <c r="S6" i="3"/>
  <c r="M6" i="3"/>
  <c r="L6" i="3"/>
  <c r="K6" i="3"/>
  <c r="N6" i="3" s="1"/>
  <c r="I6" i="3"/>
  <c r="J6" i="3" s="1"/>
  <c r="F6" i="3"/>
  <c r="B6" i="3"/>
  <c r="S5" i="3"/>
  <c r="M5" i="3"/>
  <c r="L5" i="3"/>
  <c r="K5" i="3"/>
  <c r="N5" i="3" s="1"/>
  <c r="I5" i="3"/>
  <c r="J5" i="3" s="1"/>
  <c r="F5" i="3"/>
  <c r="B5" i="3"/>
  <c r="S4" i="3"/>
  <c r="L4" i="3"/>
  <c r="M4" i="3" s="1"/>
  <c r="J4" i="3"/>
  <c r="K4" i="3" s="1"/>
  <c r="N4" i="3" s="1"/>
  <c r="I4" i="3"/>
  <c r="F4" i="3"/>
  <c r="B4" i="3"/>
  <c r="S3" i="3"/>
  <c r="L3" i="3"/>
  <c r="M3" i="3" s="1"/>
  <c r="J3" i="3"/>
  <c r="K3" i="3" s="1"/>
  <c r="I3" i="3"/>
  <c r="F3" i="3"/>
  <c r="B3" i="3"/>
  <c r="S2" i="3"/>
  <c r="L2" i="3"/>
  <c r="M2" i="3" s="1"/>
  <c r="J2" i="3"/>
  <c r="K2" i="3" s="1"/>
  <c r="I2" i="3"/>
  <c r="F2" i="3"/>
  <c r="B2" i="3"/>
  <c r="J12" i="7" l="1"/>
  <c r="J3" i="7"/>
  <c r="J7" i="7"/>
  <c r="J4" i="7"/>
  <c r="J8" i="7"/>
  <c r="J2" i="7"/>
  <c r="J6" i="7"/>
  <c r="N2" i="3"/>
  <c r="E13" i="9"/>
  <c r="F13" i="9"/>
  <c r="F16" i="9"/>
  <c r="C13" i="9"/>
  <c r="D13" i="9" s="1"/>
  <c r="C7" i="9"/>
  <c r="B10" i="9"/>
  <c r="D10" i="9" s="1"/>
  <c r="F10" i="9"/>
  <c r="B8" i="9"/>
  <c r="E11" i="9"/>
  <c r="C8" i="9"/>
  <c r="C18" i="9"/>
  <c r="D18" i="9" s="1"/>
  <c r="C15" i="9"/>
  <c r="F15" i="9"/>
  <c r="F11" i="9"/>
  <c r="B15" i="9"/>
  <c r="E18" i="9"/>
  <c r="E8" i="9"/>
  <c r="B12" i="9"/>
  <c r="F18" i="9"/>
  <c r="C12" i="9"/>
  <c r="H8" i="9"/>
  <c r="B16" i="9"/>
  <c r="C16" i="9"/>
  <c r="N3" i="3"/>
  <c r="F17" i="9"/>
  <c r="B17" i="9"/>
  <c r="D17" i="9" s="1"/>
  <c r="E10" i="9"/>
  <c r="E17" i="9"/>
  <c r="J14" i="7"/>
  <c r="J11" i="7"/>
  <c r="J5" i="7"/>
  <c r="H7" i="9"/>
  <c r="F7" i="9"/>
  <c r="B7" i="9"/>
  <c r="E9" i="9"/>
  <c r="C9" i="9"/>
  <c r="B9" i="9"/>
  <c r="F14" i="9"/>
  <c r="E14" i="9"/>
  <c r="C14" i="9"/>
  <c r="G4" i="9"/>
  <c r="B7" i="1" s="1"/>
  <c r="B14" i="9"/>
  <c r="E12" i="9"/>
  <c r="B11" i="9"/>
  <c r="D11" i="9" s="1"/>
  <c r="D7" i="9" l="1"/>
  <c r="G7" i="9" s="1"/>
  <c r="D14" i="9"/>
  <c r="G14" i="9" s="1"/>
  <c r="G13" i="9"/>
  <c r="D8" i="9"/>
  <c r="G8" i="9" s="1"/>
  <c r="D9" i="9"/>
  <c r="G9" i="9" s="1"/>
  <c r="D16" i="9"/>
  <c r="G16" i="9" s="1"/>
  <c r="G11" i="9"/>
  <c r="G10" i="9"/>
  <c r="G18" i="9"/>
  <c r="D12" i="9"/>
  <c r="G12" i="9" s="1"/>
  <c r="D15" i="9"/>
  <c r="G15" i="9" s="1"/>
  <c r="B25" i="9"/>
  <c r="E24" i="9"/>
  <c r="B24" i="9"/>
  <c r="E23" i="9"/>
  <c r="E27" i="9"/>
  <c r="E22" i="9"/>
  <c r="B22" i="9"/>
  <c r="E30" i="9"/>
  <c r="E29" i="9"/>
  <c r="E28" i="9"/>
  <c r="B27" i="9"/>
  <c r="E26" i="9"/>
  <c r="B26" i="9"/>
  <c r="E25" i="9"/>
  <c r="B23" i="9"/>
  <c r="G17" i="9"/>
</calcChain>
</file>

<file path=xl/sharedStrings.xml><?xml version="1.0" encoding="utf-8"?>
<sst xmlns="http://schemas.openxmlformats.org/spreadsheetml/2006/main" count="5675" uniqueCount="819">
  <si>
    <t>DASHBOARD - TU TIENDA</t>
  </si>
  <si>
    <t>KPIs (Mes actual)</t>
  </si>
  <si>
    <t>Ventas</t>
  </si>
  <si>
    <t>Ganancia Bruta</t>
  </si>
  <si>
    <t>Gastos</t>
  </si>
  <si>
    <t>Neto</t>
  </si>
  <si>
    <t>GUIA RAPIDA</t>
  </si>
  <si>
    <t>1) Carga y mantiene CLIENTES en la hoja Clientes.</t>
  </si>
  <si>
    <t>2) Carga PRODUCTOS en la hoja Productos (precio venta, stock minimo).</t>
  </si>
  <si>
    <t>3) Registra VENTAS en la hoja Ventas (usa los dropdowns).</t>
  </si>
  <si>
    <t>4) Registra COMPRAS para actualizar stock.</t>
  </si>
  <si>
    <t>5) Registra GASTOS e INGRESOS extra (no ventas) si aplica.</t>
  </si>
  <si>
    <t>6) Mira Dashboard y Resumen. Todo se actualiza solo por formulas.</t>
  </si>
  <si>
    <t>FECHA</t>
  </si>
  <si>
    <t>VENTA_ID</t>
  </si>
  <si>
    <t>CLIENTE_ID</t>
  </si>
  <si>
    <t>CLIENTE</t>
  </si>
  <si>
    <t>PRODUCTO</t>
  </si>
  <si>
    <t>CATEGORIA</t>
  </si>
  <si>
    <t>CANTIDAD</t>
  </si>
  <si>
    <t>PRECIO_MANUAL</t>
  </si>
  <si>
    <t>PRECIO_LISTA</t>
  </si>
  <si>
    <t>PRECIO_USADO</t>
  </si>
  <si>
    <t>TOTAL_VENTA</t>
  </si>
  <si>
    <t>COSTO_UNIT</t>
  </si>
  <si>
    <t>COSTO_TOTAL</t>
  </si>
  <si>
    <t>GANANCIA</t>
  </si>
  <si>
    <t>METODO_PAGO</t>
  </si>
  <si>
    <t>CUENTA</t>
  </si>
  <si>
    <t>ESTADO</t>
  </si>
  <si>
    <t>NOTAS</t>
  </si>
  <si>
    <t>STOCK_DISP</t>
  </si>
  <si>
    <t>Adri Puig</t>
  </si>
  <si>
    <t>Voraz  20 KG</t>
  </si>
  <si>
    <t>EFECTIVO</t>
  </si>
  <si>
    <t>CAJA</t>
  </si>
  <si>
    <t>PAGADO</t>
  </si>
  <si>
    <t>Avena instantanea</t>
  </si>
  <si>
    <t>Coco Vai</t>
  </si>
  <si>
    <t>COMPRA_ID</t>
  </si>
  <si>
    <t>PROVEEDOR</t>
  </si>
  <si>
    <t>TOTAL_COMPRA</t>
  </si>
  <si>
    <t>TRANSFERENCIA</t>
  </si>
  <si>
    <t>BANCO</t>
  </si>
  <si>
    <t>GASTO_ID</t>
  </si>
  <si>
    <t>CATEGORIA_GASTO</t>
  </si>
  <si>
    <t>CONCEPTO</t>
  </si>
  <si>
    <t>MONTO</t>
  </si>
  <si>
    <t>INGRESO_ID</t>
  </si>
  <si>
    <t>FUENTE</t>
  </si>
  <si>
    <t>CATEGORIA_INGRESO</t>
  </si>
  <si>
    <t>ITEM</t>
  </si>
  <si>
    <t>UNIDAD</t>
  </si>
  <si>
    <t>COSTO</t>
  </si>
  <si>
    <t>COSTO VINILO</t>
  </si>
  <si>
    <t>COSTO TOTAL</t>
  </si>
  <si>
    <t>PRECIO_VENTA</t>
  </si>
  <si>
    <t>STOCK_MIN</t>
  </si>
  <si>
    <t>STOCK_ACTUAL</t>
  </si>
  <si>
    <t>VALOR_INV</t>
  </si>
  <si>
    <t>MARGEN_%</t>
  </si>
  <si>
    <t>SUPERHIT</t>
  </si>
  <si>
    <t>SATYA</t>
  </si>
  <si>
    <t>YOGA RITUAL</t>
  </si>
  <si>
    <t>TUSCAN LEATHER</t>
  </si>
  <si>
    <t>TOBAK</t>
  </si>
  <si>
    <t>SACRED SUTRA</t>
  </si>
  <si>
    <t>PURPLE BEAUTY</t>
  </si>
  <si>
    <t>ARABIAN NIGHT</t>
  </si>
  <si>
    <t>DESI AROMA</t>
  </si>
  <si>
    <t>ATHMA</t>
  </si>
  <si>
    <t>OMKAR</t>
  </si>
  <si>
    <t>DHARMA</t>
  </si>
  <si>
    <t>MAGIC MONK</t>
  </si>
  <si>
    <t>BLUE BELL</t>
  </si>
  <si>
    <t>ESTAMPA ARP x15</t>
  </si>
  <si>
    <t>BALANCEADOS</t>
  </si>
  <si>
    <t>ESTAMPA PLUS x20</t>
  </si>
  <si>
    <t>VAGONETA GOURMET x15</t>
  </si>
  <si>
    <t>ESTAMPA CACHORRO x15</t>
  </si>
  <si>
    <t>ESTAMPA CRIADORES x20</t>
  </si>
  <si>
    <t>ESTAMPA PH CONTROL x1</t>
  </si>
  <si>
    <t>PERROT x20</t>
  </si>
  <si>
    <t>CANFEED ARP x3</t>
  </si>
  <si>
    <t>CANFEED ARP x20</t>
  </si>
  <si>
    <t>CANFEED LARGE x20</t>
  </si>
  <si>
    <t>CANFEED CACHORRO L x15</t>
  </si>
  <si>
    <t>CANFEED LIGHT x15</t>
  </si>
  <si>
    <t>CATFEED x7.5</t>
  </si>
  <si>
    <t>ENERCAN x20</t>
  </si>
  <si>
    <t>IRON GATO x3</t>
  </si>
  <si>
    <t>IRON GATO x7.5</t>
  </si>
  <si>
    <t>BIOPET x20</t>
  </si>
  <si>
    <t>BIOPET ARP x15</t>
  </si>
  <si>
    <t>PERFECT PRO x20</t>
  </si>
  <si>
    <t>PUPYFOOD x20</t>
  </si>
  <si>
    <t>PUPY ARP x15</t>
  </si>
  <si>
    <t>PUPY CACHORRO x15</t>
  </si>
  <si>
    <t>SABROSITOS MIX x10</t>
  </si>
  <si>
    <t>EUKANUBA SENIOR +7 SMALL</t>
  </si>
  <si>
    <t>ROYAL MINI x3</t>
  </si>
  <si>
    <t>SIEGER CRIADORES x20+2</t>
  </si>
  <si>
    <t>AGILITY CAT x1.5</t>
  </si>
  <si>
    <t>AGILITY CAT x10</t>
  </si>
  <si>
    <t>AGILITY URINARY x1.5</t>
  </si>
  <si>
    <t>AGILITY URINARY x10</t>
  </si>
  <si>
    <t>7 VIDAS x10 (NARANJA)</t>
  </si>
  <si>
    <t>EXCELLENT MAINTENANCE x20</t>
  </si>
  <si>
    <t>LIMPCAT PIEDRA AGLUTINANTE x2 KG</t>
  </si>
  <si>
    <t>DIABSORB x8dm3</t>
  </si>
  <si>
    <t>DIABSORB x25</t>
  </si>
  <si>
    <t>FIDEOS SAB x15</t>
  </si>
  <si>
    <t>NUTRICARE ARP x20</t>
  </si>
  <si>
    <t>VORAZ x20</t>
  </si>
  <si>
    <t>VORAZ x10</t>
  </si>
  <si>
    <t>VORAZ CACH x10</t>
  </si>
  <si>
    <t>VORAZ GATO x10</t>
  </si>
  <si>
    <t>KONGO NATURAL AD MED&amp;GDES x1.5</t>
  </si>
  <si>
    <t>KONGO NATURAL ARP x1.5</t>
  </si>
  <si>
    <t>KONGO NATURAL CACH x1.5</t>
  </si>
  <si>
    <t>OLD PRINCE PA x20</t>
  </si>
  <si>
    <t>OLD PRINCE COMPLETE CARE CAT x3</t>
  </si>
  <si>
    <t>OLD PRINCE COMPLETE CARE CAT x7.5</t>
  </si>
  <si>
    <t>CAT CHOW STERILIZED x3</t>
  </si>
  <si>
    <t>PLATO VORAZ</t>
  </si>
  <si>
    <t>PLATO OLD PRINCE</t>
  </si>
  <si>
    <t>HUESO 4/5</t>
  </si>
  <si>
    <t>ADVANCED PREMIUM x20</t>
  </si>
  <si>
    <t>FRESIA Y BERGAMOTA</t>
  </si>
  <si>
    <t>SAPHIRUS VARILLAS</t>
  </si>
  <si>
    <t>FRUTOS PATAGONICOS</t>
  </si>
  <si>
    <t>LOLA</t>
  </si>
  <si>
    <t>VAINILLA</t>
  </si>
  <si>
    <t>INDIANA</t>
  </si>
  <si>
    <t>GREEN</t>
  </si>
  <si>
    <t>LIMON</t>
  </si>
  <si>
    <t>PETALOS DE ORQUIDEAS</t>
  </si>
  <si>
    <t>MAGNOLIA Y FRESIAS</t>
  </si>
  <si>
    <t>BUBBLEGUM</t>
  </si>
  <si>
    <t>MANZANA CANELA</t>
  </si>
  <si>
    <t>LIMON DULCE Y VAINILLA</t>
  </si>
  <si>
    <t>LAVANDA</t>
  </si>
  <si>
    <t>PERA Y DURAZNO</t>
  </si>
  <si>
    <t>DAMASCO</t>
  </si>
  <si>
    <t>LONDON</t>
  </si>
  <si>
    <t>CRISTOBAL</t>
  </si>
  <si>
    <t>LAVANDA VAINILLA</t>
  </si>
  <si>
    <t>MIEL Y LIMON</t>
  </si>
  <si>
    <t>COCO VAI</t>
  </si>
  <si>
    <t>SANDIA PEPINO</t>
  </si>
  <si>
    <t>BERGAMOTA Y CEDRO</t>
  </si>
  <si>
    <t>ROCIO</t>
  </si>
  <si>
    <t>FLORES BLANCAS</t>
  </si>
  <si>
    <t>ID</t>
  </si>
  <si>
    <t>NOMBRE</t>
  </si>
  <si>
    <t>CELU</t>
  </si>
  <si>
    <t>UBICACIÓN</t>
  </si>
  <si>
    <t>EMAIL</t>
  </si>
  <si>
    <t>ACTIVO</t>
  </si>
  <si>
    <t>C001</t>
  </si>
  <si>
    <t>SI</t>
  </si>
  <si>
    <t>C002</t>
  </si>
  <si>
    <t>C003</t>
  </si>
  <si>
    <t>RESUMEN FINANCIERO</t>
  </si>
  <si>
    <t>Ventas (Mes)</t>
  </si>
  <si>
    <t>Ganancia Bruta (Mes)</t>
  </si>
  <si>
    <t>Gastos (Mes)</t>
  </si>
  <si>
    <t>Neto (Mes)</t>
  </si>
  <si>
    <t>MES</t>
  </si>
  <si>
    <t>VENTAS</t>
  </si>
  <si>
    <t>GANANCIA_BRUTA</t>
  </si>
  <si>
    <t>GASTOS</t>
  </si>
  <si>
    <t>OTROS_INGRESOS</t>
  </si>
  <si>
    <t>GANANCIA_NETA</t>
  </si>
  <si>
    <t>RANGO 12M</t>
  </si>
  <si>
    <t>Inicio</t>
  </si>
  <si>
    <t>Fin</t>
  </si>
  <si>
    <t>VENTAS POR CATEGORIA (12M)</t>
  </si>
  <si>
    <t>GASTOS POR CATEGORIA (12M)</t>
  </si>
  <si>
    <t>ALQUILER</t>
  </si>
  <si>
    <t>DIETETIC</t>
  </si>
  <si>
    <t>SERVICIOS</t>
  </si>
  <si>
    <t>SAPHIRUS AEROSOL</t>
  </si>
  <si>
    <t>SUELDOS</t>
  </si>
  <si>
    <t>SAPHIRUS TEXTIL</t>
  </si>
  <si>
    <t>PROVEEDORES</t>
  </si>
  <si>
    <t>IMPUESTOS</t>
  </si>
  <si>
    <t>MARKETING</t>
  </si>
  <si>
    <t>TRANSPORTE</t>
  </si>
  <si>
    <t>MANTENIMIENTO</t>
  </si>
  <si>
    <t>OTROS</t>
  </si>
  <si>
    <t>CATEGORIAS</t>
  </si>
  <si>
    <t>METODOS_PAGO</t>
  </si>
  <si>
    <t>CUENTAS</t>
  </si>
  <si>
    <t>CATEGORIAS_GASTO</t>
  </si>
  <si>
    <t>CATEGORIAS_INGRESO</t>
  </si>
  <si>
    <t>VARIOS</t>
  </si>
  <si>
    <t>PENDIENTE</t>
  </si>
  <si>
    <t>TARJETA</t>
  </si>
  <si>
    <t>MERCADOPAGO</t>
  </si>
  <si>
    <t>ANULADO</t>
  </si>
  <si>
    <t>OTRO</t>
  </si>
  <si>
    <t>N° CLIENTE</t>
  </si>
  <si>
    <t>PRECIO</t>
  </si>
  <si>
    <t>GANANCIAS</t>
  </si>
  <si>
    <t>Balanceados</t>
  </si>
  <si>
    <t>c007</t>
  </si>
  <si>
    <t>Laura Pot</t>
  </si>
  <si>
    <t>Dietetic</t>
  </si>
  <si>
    <t>c009</t>
  </si>
  <si>
    <t>Ari</t>
  </si>
  <si>
    <t>Saphirus Aerosol</t>
  </si>
  <si>
    <t>Columna1</t>
  </si>
  <si>
    <t>SEGURO</t>
  </si>
  <si>
    <t>SANCOR</t>
  </si>
  <si>
    <t>SANCOR COOP SE0000030195186-020-000 006065</t>
  </si>
  <si>
    <t>BBVA</t>
  </si>
  <si>
    <t>Flora Puga</t>
  </si>
  <si>
    <t>+54 9 11 4940-4045</t>
  </si>
  <si>
    <t>Villantonio A-05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</si>
  <si>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</si>
  <si>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</si>
  <si>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</si>
  <si>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</si>
  <si>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</si>
  <si>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</si>
  <si>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</si>
  <si>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</si>
  <si>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</si>
  <si>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</si>
  <si>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</si>
  <si>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</si>
  <si>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</si>
  <si>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</si>
  <si>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</si>
  <si>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</si>
  <si>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</si>
  <si>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</si>
  <si>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</si>
  <si>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</si>
  <si>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</si>
  <si>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</si>
  <si>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</si>
  <si>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</si>
  <si>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</si>
  <si>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</si>
  <si>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</si>
  <si>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</si>
  <si>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</si>
  <si>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</si>
  <si>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</si>
  <si>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</si>
  <si>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</si>
  <si>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</si>
  <si>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</si>
  <si>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</si>
  <si>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</si>
  <si>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</si>
  <si>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</si>
  <si>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</si>
  <si>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</si>
  <si>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</si>
  <si>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</si>
  <si>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</si>
  <si>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</si>
  <si>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</si>
  <si>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</si>
  <si>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</si>
  <si>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</si>
  <si>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</si>
  <si>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</si>
  <si>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</si>
  <si>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</si>
  <si>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</si>
  <si>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</si>
  <si>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</si>
  <si>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</si>
  <si>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</si>
  <si>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</si>
  <si>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</si>
  <si>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</si>
  <si>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</si>
  <si>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</si>
  <si>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</si>
  <si>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</si>
  <si>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</si>
  <si>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</si>
  <si>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</si>
  <si>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</si>
  <si>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</si>
  <si>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</si>
  <si>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</si>
  <si>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</si>
  <si>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</si>
  <si>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</si>
  <si>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</si>
  <si>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</si>
  <si>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</si>
  <si>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</si>
  <si>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</si>
  <si>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</si>
  <si>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</si>
  <si>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</si>
  <si>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</si>
  <si>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</si>
  <si>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</si>
  <si>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</si>
  <si>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</si>
  <si>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</si>
  <si>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</si>
  <si>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</si>
  <si>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</si>
  <si>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</si>
  <si>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</si>
  <si>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</si>
  <si>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</si>
  <si>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</si>
  <si>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</si>
  <si>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</si>
  <si>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</si>
  <si>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</si>
  <si>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</si>
  <si>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</si>
  <si>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</si>
  <si>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</si>
  <si>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</si>
  <si>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</si>
  <si>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</si>
  <si>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</si>
  <si>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</si>
  <si>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</si>
  <si>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</si>
  <si>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</si>
  <si>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</si>
  <si>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</si>
  <si>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</si>
  <si>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</si>
  <si>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</si>
  <si>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</si>
  <si>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</si>
  <si>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</si>
  <si>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</si>
  <si>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</si>
  <si>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</si>
  <si>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</si>
  <si>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</si>
  <si>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</si>
  <si>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</si>
  <si>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</si>
  <si>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</si>
  <si>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</si>
  <si>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</si>
  <si>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</si>
  <si>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</si>
  <si>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</si>
  <si>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</si>
  <si>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</si>
  <si>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</si>
  <si>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</si>
  <si>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</si>
  <si>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</si>
  <si>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</si>
  <si>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</si>
  <si>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</si>
  <si>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</si>
  <si>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</si>
  <si>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</si>
  <si>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</si>
  <si>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</si>
  <si>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</si>
  <si>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</si>
  <si>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</si>
  <si>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</si>
  <si>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</si>
  <si>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</si>
  <si>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</si>
  <si>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</si>
  <si>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</si>
  <si>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</si>
  <si>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</si>
  <si>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</si>
  <si>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</si>
  <si>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</si>
  <si>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</si>
  <si>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</si>
  <si>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</si>
  <si>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</si>
  <si>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</si>
  <si>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</si>
  <si>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</si>
  <si>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</si>
  <si>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</si>
  <si>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</si>
  <si>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</si>
  <si>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</si>
  <si>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</si>
  <si>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</si>
  <si>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</si>
  <si>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</si>
  <si>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</si>
  <si>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</si>
  <si>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</si>
  <si>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</si>
  <si>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</si>
  <si>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</si>
  <si>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</si>
  <si>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</si>
  <si>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</si>
  <si>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</si>
  <si>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</si>
  <si>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</si>
  <si>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</si>
  <si>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</si>
  <si>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</si>
  <si>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</si>
  <si>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</si>
  <si>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</si>
  <si>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</si>
  <si>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</si>
  <si>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</si>
  <si>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</si>
  <si>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</si>
  <si>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</si>
  <si>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</si>
  <si>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</si>
  <si>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</si>
  <si>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</si>
  <si>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</si>
  <si>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</si>
  <si>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</si>
  <si>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</si>
  <si>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</si>
  <si>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</si>
  <si>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</si>
  <si>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</si>
  <si>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</si>
  <si>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</si>
  <si>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</si>
  <si>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</si>
  <si>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</si>
  <si>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</si>
  <si>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</si>
  <si>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</si>
  <si>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</si>
  <si>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</si>
  <si>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</si>
  <si>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</si>
  <si>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</si>
  <si>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</si>
  <si>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</si>
  <si>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</si>
  <si>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</si>
  <si>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</si>
  <si>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</si>
  <si>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</si>
  <si>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</si>
  <si>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</si>
  <si>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</si>
  <si>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</si>
  <si>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</si>
  <si>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</si>
  <si>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</si>
  <si>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</si>
  <si>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</si>
  <si>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</si>
  <si>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</si>
  <si>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</si>
  <si>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</si>
  <si>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</si>
  <si>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</si>
  <si>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</si>
  <si>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</si>
  <si>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</si>
  <si>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</si>
  <si>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</si>
  <si>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</si>
  <si>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</si>
  <si>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</si>
  <si>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</si>
  <si>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</si>
  <si>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</si>
  <si>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</si>
  <si>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</si>
  <si>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</si>
  <si>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</si>
  <si>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</si>
  <si>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</si>
  <si>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</si>
  <si>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</si>
  <si>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</si>
  <si>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</si>
  <si>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</si>
  <si>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</si>
  <si>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</si>
  <si>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</si>
  <si>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</si>
  <si>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</si>
  <si>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</si>
  <si>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</si>
  <si>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</si>
  <si>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</si>
  <si>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</si>
  <si>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</si>
  <si>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</si>
  <si>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</si>
  <si>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</si>
  <si>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</si>
  <si>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</si>
  <si>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</si>
  <si>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</si>
  <si>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</si>
  <si>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</si>
  <si>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</si>
  <si>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</si>
  <si>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</si>
  <si>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</si>
  <si>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</si>
  <si>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</si>
  <si>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</si>
  <si>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</si>
  <si>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</si>
  <si>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</si>
  <si>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</si>
  <si>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</si>
  <si>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</si>
  <si>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</si>
  <si>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</si>
  <si>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</si>
  <si>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</si>
  <si>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</si>
  <si>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</si>
  <si>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</si>
  <si>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</si>
  <si>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</si>
  <si>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</si>
  <si>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</si>
  <si>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</si>
  <si>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</si>
  <si>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</si>
  <si>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</si>
  <si>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</si>
  <si>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</si>
  <si>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</si>
  <si>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</si>
  <si>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</si>
  <si>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</si>
  <si>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</si>
  <si>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</si>
  <si>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</si>
  <si>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</si>
  <si>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</si>
  <si>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</si>
  <si>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</si>
  <si>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</si>
  <si>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</si>
  <si>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</si>
  <si>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</si>
  <si>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</si>
  <si>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</si>
  <si>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</si>
  <si>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</si>
  <si>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</si>
  <si>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</si>
  <si>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</si>
  <si>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</si>
  <si>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</si>
  <si>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</si>
  <si>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</si>
  <si>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</si>
  <si>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</si>
  <si>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</si>
  <si>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</si>
  <si>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</si>
  <si>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</si>
  <si>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</si>
  <si>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</si>
  <si>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</si>
  <si>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</si>
  <si>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</si>
  <si>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</si>
  <si>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</si>
  <si>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</si>
  <si>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</si>
  <si>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</si>
  <si>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</si>
  <si>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</si>
  <si>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</si>
  <si>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</si>
  <si>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</si>
  <si>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</si>
  <si>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</si>
  <si>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</si>
  <si>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</si>
  <si>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</si>
  <si>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</si>
  <si>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</si>
  <si>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</si>
  <si>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</si>
  <si>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</si>
  <si>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</si>
  <si>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</si>
  <si>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</si>
  <si>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</si>
  <si>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</si>
  <si>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</si>
  <si>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</si>
  <si>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</si>
  <si>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</si>
  <si>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</si>
  <si>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</si>
  <si>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</si>
  <si>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</si>
  <si>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</si>
  <si>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</si>
  <si>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</si>
  <si>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</si>
  <si>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</si>
  <si>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</si>
  <si>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</si>
  <si>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</si>
  <si>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</si>
  <si>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</si>
  <si>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</si>
  <si>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</si>
  <si>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</si>
  <si>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</si>
  <si>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</si>
  <si>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</si>
  <si>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</si>
  <si>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</si>
  <si>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</si>
  <si>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</si>
  <si>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</si>
  <si>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</si>
  <si>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</si>
  <si>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</si>
  <si>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</si>
  <si>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</si>
  <si>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</si>
  <si>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</si>
  <si>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</si>
  <si>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</si>
  <si>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</si>
  <si>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</si>
  <si>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</si>
  <si>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</si>
  <si>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</si>
  <si>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</si>
  <si>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</si>
  <si>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</si>
  <si>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</si>
  <si>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</si>
  <si>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</si>
  <si>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</si>
  <si>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</si>
  <si>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</si>
  <si>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</si>
  <si>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</si>
  <si>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</si>
  <si>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</si>
  <si>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</si>
  <si>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</si>
  <si>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</si>
  <si>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</si>
  <si>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</si>
  <si>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</si>
  <si>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</si>
  <si>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</si>
  <si>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</si>
  <si>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</si>
  <si>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</si>
  <si>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</si>
  <si>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</si>
  <si>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</si>
  <si>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</si>
  <si>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</si>
  <si>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</si>
  <si>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</si>
  <si>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</si>
  <si>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</si>
  <si>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</si>
  <si>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</si>
  <si>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</si>
  <si>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</si>
  <si>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</si>
  <si>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</si>
  <si>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</si>
  <si>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</si>
  <si>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</si>
  <si>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</si>
  <si>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</si>
  <si>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</si>
  <si>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</si>
  <si>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</si>
  <si>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</si>
  <si>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</si>
  <si>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</si>
  <si>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</si>
  <si>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</si>
  <si>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</si>
  <si>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</si>
  <si>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</si>
  <si>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</si>
  <si>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</si>
  <si>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</si>
  <si>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</si>
  <si>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</si>
  <si>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</si>
  <si>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</si>
  <si>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</si>
  <si>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</si>
  <si>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</si>
  <si>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</si>
  <si>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</si>
  <si>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</si>
  <si>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</si>
  <si>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</si>
  <si>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</si>
  <si>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</si>
  <si>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</si>
  <si>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</si>
  <si>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</si>
  <si>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</si>
  <si>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</si>
  <si>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</si>
  <si>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</si>
  <si>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</si>
  <si>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</si>
  <si>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</si>
  <si>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</si>
  <si>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</si>
  <si>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</si>
  <si>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</si>
  <si>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</si>
  <si>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</si>
  <si>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</si>
  <si>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</si>
  <si>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</si>
  <si>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</si>
  <si>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</si>
  <si>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</si>
  <si>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</si>
  <si>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</si>
  <si>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</si>
  <si>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</si>
  <si>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</si>
  <si>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</si>
  <si>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</si>
  <si>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</si>
  <si>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</si>
  <si>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</si>
  <si>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</si>
  <si>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</si>
  <si>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</si>
  <si>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</si>
  <si>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</si>
  <si>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</si>
  <si>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</si>
  <si>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</si>
  <si>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</si>
  <si>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</si>
  <si>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</si>
  <si>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</si>
  <si>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</si>
  <si>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</si>
  <si>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</si>
  <si>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</si>
  <si>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</si>
  <si>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</si>
  <si>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</si>
  <si>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</si>
  <si>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</si>
  <si>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</si>
  <si>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</si>
  <si>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</si>
  <si>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</si>
  <si>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</si>
  <si>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</si>
  <si>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</si>
  <si>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</si>
  <si>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</si>
  <si>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</si>
  <si>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</si>
  <si>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</si>
  <si>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</si>
  <si>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</si>
  <si>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</si>
  <si>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</si>
  <si>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</si>
  <si>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</si>
  <si>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</si>
  <si>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</si>
  <si>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</si>
  <si>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</si>
  <si>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</si>
  <si>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</si>
  <si>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</si>
  <si>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</si>
  <si>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</si>
  <si>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</si>
  <si>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</si>
  <si>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</si>
  <si>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</si>
  <si>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</si>
  <si>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</si>
  <si>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</si>
  <si>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</si>
  <si>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</si>
  <si>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</si>
  <si>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</si>
  <si>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</si>
  <si>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</si>
  <si>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</si>
  <si>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</si>
  <si>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Lili Hostel Casa Blanca</t>
  </si>
  <si>
    <t>+54 9 2664 48-7887</t>
  </si>
  <si>
    <t>https://maps.app.goo.gl/e7FwHjaRPHLXCEA86</t>
  </si>
  <si>
    <t>Frankus Cruz de P</t>
  </si>
  <si>
    <t>+54 9 2664 61-6192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</si>
</sst>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\$#,##0.00"/>
    <numFmt numFmtId="165" formatCode="yyyy\-mm\-dd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6"/>
      <color rgb="FF1F4E79"/>
      <name val="Aptos Narrow"/>
      <family val="2"/>
    </font>
    <font>
      <b/>
      <sz val="11"/>
      <color rgb="FF1F4E79"/>
      <name val="Aptos Narrow"/>
      <family val="2"/>
    </font>
    <font>
      <b/>
      <sz val="14"/>
      <name val="Aptos Narrow"/>
      <family val="2"/>
    </font>
    <font>
      <b/>
      <sz val="18"/>
      <color rgb="FF1F4E79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4" fontId="1" fillId="0" borderId="0"/>
    <xf numFmtId="0" fontId="10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64" fontId="8" fillId="0" borderId="0" xfId="0" applyNumberFormat="1" applyFont="1"/>
    <xf numFmtId="0" fontId="4" fillId="0" borderId="0" xfId="0" applyFont="1"/>
    <xf numFmtId="0" fontId="0" fillId="0" borderId="0" xfId="0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6" fontId="0" fillId="0" borderId="1" xfId="0" applyNumberFormat="1" applyBorder="1"/>
    <xf numFmtId="1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/>
    <xf numFmtId="0" fontId="0" fillId="0" borderId="1" xfId="0" applyBorder="1" applyAlignment="1">
      <alignment horizontal="center" vertical="center"/>
    </xf>
    <xf numFmtId="164" fontId="6" fillId="0" borderId="0" xfId="0" applyNumberFormat="1" applyFont="1"/>
    <xf numFmtId="17" fontId="0" fillId="0" borderId="1" xfId="0" applyNumberFormat="1" applyBorder="1"/>
    <xf numFmtId="165" fontId="0" fillId="0" borderId="0" xfId="0" applyNumberFormat="1"/>
    <xf numFmtId="0" fontId="3" fillId="6" borderId="2" xfId="0" applyFont="1" applyFill="1" applyBorder="1" applyAlignment="1">
      <alignment horizontal="center" vertical="center" wrapText="1"/>
    </xf>
    <xf numFmtId="165" fontId="0" fillId="0" borderId="2" xfId="0" applyNumberFormat="1" applyBorder="1"/>
    <xf numFmtId="4" fontId="0" fillId="0" borderId="0" xfId="0" applyNumberFormat="1"/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/>
    <xf numFmtId="0" fontId="10" fillId="0" borderId="1" xfId="2" applyBorder="1"/>
  </cellXfs>
  <cellStyles count="3">
    <cellStyle name="Hipervínculo" xfId="2" builtinId="8"/>
    <cellStyle name="Moneda" xfId="1" builtinId="4"/>
    <cellStyle name="Normal" xfId="0" builtinId="0"/>
  </cellStyles>
  <dxfs count="29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\$#,##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" formatCode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5" formatCode="yyyy\-mm\-dd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\$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4E79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Ventas, Gastos y Neto (12 meses)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Resumen!$B$6</c:f>
              <c:strCache>
                <c:ptCount val="1"/>
                <c:pt idx="0">
                  <c:v>VENTAS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Resumen!$A$7:$A$18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Resumen!$B$7:$B$18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C6-4C81-9A34-9D16FE6D22C0}"/>
            </c:ext>
          </c:extLst>
        </c:ser>
        <c:ser>
          <c:idx val="1"/>
          <c:order val="1"/>
          <c:tx>
            <c:strRef>
              <c:f>Resumen!$C$6</c:f>
              <c:strCache>
                <c:ptCount val="1"/>
                <c:pt idx="0">
                  <c:v>COSTO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Resumen!$A$7:$A$18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Resumen!$C$7:$C$18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C6-4C81-9A34-9D16FE6D22C0}"/>
            </c:ext>
          </c:extLst>
        </c:ser>
        <c:ser>
          <c:idx val="2"/>
          <c:order val="2"/>
          <c:tx>
            <c:strRef>
              <c:f>Resumen!$D$6</c:f>
              <c:strCache>
                <c:ptCount val="1"/>
                <c:pt idx="0">
                  <c:v>GANANCIA_BRUTA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Resumen!$A$7:$A$18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Resumen!$D$7:$D$18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C6-4C81-9A34-9D16FE6D22C0}"/>
            </c:ext>
          </c:extLst>
        </c:ser>
        <c:ser>
          <c:idx val="3"/>
          <c:order val="3"/>
          <c:tx>
            <c:strRef>
              <c:f>Resumen!$E$6</c:f>
              <c:strCache>
                <c:ptCount val="1"/>
                <c:pt idx="0">
                  <c:v>GASTOS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Resumen!$A$7:$A$18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Resumen!$E$7:$E$18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68307.759999999995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AC6-4C81-9A34-9D16FE6D22C0}"/>
            </c:ext>
          </c:extLst>
        </c:ser>
        <c:ser>
          <c:idx val="4"/>
          <c:order val="4"/>
          <c:tx>
            <c:strRef>
              <c:f>Resumen!$F$6</c:f>
              <c:strCache>
                <c:ptCount val="1"/>
                <c:pt idx="0">
                  <c:v>OTROS_INGRESOS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Resumen!$A$7:$A$18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Resumen!$F$7:$F$18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AC6-4C81-9A34-9D16FE6D22C0}"/>
            </c:ext>
          </c:extLst>
        </c:ser>
        <c:ser>
          <c:idx val="5"/>
          <c:order val="5"/>
          <c:tx>
            <c:strRef>
              <c:f>Resumen!$G$6</c:f>
              <c:strCache>
                <c:ptCount val="1"/>
                <c:pt idx="0">
                  <c:v>GANANCIA_NETA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Resumen!$A$7:$A$18</c:f>
              <c:numCache>
                <c:formatCode>mmm\-yy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Resumen!$G$7:$G$18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AC6-4C81-9A34-9D16FE6D2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Mes</a:t>
                </a:r>
              </a:p>
            </c:rich>
          </c:tx>
          <c:overlay val="1"/>
        </c:title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Monto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Ventas por categoria (12m)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Resumen!$B$21</c:f>
              <c:strCache>
                <c:ptCount val="1"/>
                <c:pt idx="0">
                  <c:v>VENTAS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Resumen!$A$22:$A$27</c:f>
              <c:strCache>
                <c:ptCount val="6"/>
                <c:pt idx="0">
                  <c:v>BALANCEADOS</c:v>
                </c:pt>
                <c:pt idx="1">
                  <c:v>DIETETIC</c:v>
                </c:pt>
                <c:pt idx="2">
                  <c:v>SAPHIRUS AEROSOL</c:v>
                </c:pt>
                <c:pt idx="3">
                  <c:v>SAPHIRUS TEXTIL</c:v>
                </c:pt>
                <c:pt idx="4">
                  <c:v>SAPHIRUS VARILLAS</c:v>
                </c:pt>
                <c:pt idx="5">
                  <c:v>SATYA</c:v>
                </c:pt>
              </c:strCache>
            </c:strRef>
          </c:cat>
          <c:val>
            <c:numRef>
              <c:f>Resumen!$B$22:$B$27</c:f>
              <c:numCache>
                <c:formatCode>\$#,##0.00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6-4585-8624-8D777D8BB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Categoria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Ventas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Gastos por categoria (12m)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Resumen!$E$21</c:f>
              <c:strCache>
                <c:ptCount val="1"/>
                <c:pt idx="0">
                  <c:v>GASTOS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6316613247863249"/>
                  <c:y val="0.3818819444444444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F4-4DD0-8929-D1C7C466C985}"/>
                </c:ext>
              </c:extLst>
            </c:dLbl>
            <c:dLbl>
              <c:idx val="1"/>
              <c:layout>
                <c:manualLayout>
                  <c:x val="2.8147970085470087E-2"/>
                  <c:y val="0.5512152777777777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3F4-4DD0-8929-D1C7C466C985}"/>
                </c:ext>
              </c:extLst>
            </c:dLbl>
            <c:dLbl>
              <c:idx val="2"/>
              <c:layout>
                <c:manualLayout>
                  <c:x val="-0.3677094017094017"/>
                  <c:y val="0.3466041666666666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F4-4DD0-8929-D1C7C466C985}"/>
                </c:ext>
              </c:extLst>
            </c:dLbl>
            <c:dLbl>
              <c:idx val="3"/>
              <c:layout>
                <c:manualLayout>
                  <c:x val="-0.33175309829059829"/>
                  <c:y val="0.1913819444444444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3F4-4DD0-8929-D1C7C466C985}"/>
                </c:ext>
              </c:extLst>
            </c:dLbl>
            <c:dLbl>
              <c:idx val="4"/>
              <c:layout>
                <c:manualLayout>
                  <c:x val="-7.9381303418803423E-2"/>
                  <c:y val="0.1807986111111111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3F4-4DD0-8929-D1C7C466C985}"/>
                </c:ext>
              </c:extLst>
            </c:dLbl>
            <c:dLbl>
              <c:idx val="5"/>
              <c:layout>
                <c:manualLayout>
                  <c:x val="-2.7200854700854702E-3"/>
                  <c:y val="0.3748263888888888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F4-4DD0-8929-D1C7C466C985}"/>
                </c:ext>
              </c:extLst>
            </c:dLbl>
            <c:dLbl>
              <c:idx val="6"/>
              <c:layout>
                <c:manualLayout>
                  <c:x val="-0.1777520299145299"/>
                  <c:y val="0.7205486111111111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F4-4DD0-8929-D1C7C466C985}"/>
                </c:ext>
              </c:extLst>
            </c:dLbl>
            <c:dLbl>
              <c:idx val="7"/>
              <c:layout>
                <c:manualLayout>
                  <c:x val="-0.1292451923076923"/>
                  <c:y val="0.5476874999999999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F4-4DD0-8929-D1C7C466C985}"/>
                </c:ext>
              </c:extLst>
            </c:dLbl>
            <c:dLbl>
              <c:idx val="8"/>
              <c:layout>
                <c:manualLayout>
                  <c:x val="-0.36499572649572648"/>
                  <c:y val="0.5617986111111110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F4-4DD0-8929-D1C7C466C98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Resumen!$D$22:$D$30</c:f>
              <c:strCache>
                <c:ptCount val="9"/>
                <c:pt idx="0">
                  <c:v>ALQUILER</c:v>
                </c:pt>
                <c:pt idx="1">
                  <c:v>SERVICIOS</c:v>
                </c:pt>
                <c:pt idx="2">
                  <c:v>SUELDOS</c:v>
                </c:pt>
                <c:pt idx="3">
                  <c:v>PROVEEDORES</c:v>
                </c:pt>
                <c:pt idx="4">
                  <c:v>IMPUESTOS</c:v>
                </c:pt>
                <c:pt idx="5">
                  <c:v>MARKETING</c:v>
                </c:pt>
                <c:pt idx="6">
                  <c:v>TRANSPORTE</c:v>
                </c:pt>
                <c:pt idx="7">
                  <c:v>MANTENIMIENTO</c:v>
                </c:pt>
                <c:pt idx="8">
                  <c:v>OTROS</c:v>
                </c:pt>
              </c:strCache>
            </c:strRef>
          </c:cat>
          <c:val>
            <c:numRef>
              <c:f>Resumen!$E$22:$E$30</c:f>
              <c:numCache>
                <c:formatCode>\$#,##0.00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F-41C0-8D40-8F0C6DCC055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0</xdr:row>
      <xdr:rowOff>60960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46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28</xdr:row>
      <xdr:rowOff>160020</xdr:rowOff>
    </xdr:from>
    <xdr:ext cx="46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13192C-7FFA-403C-B8C6-BB2510FE5E30}" name="Tabla7" displayName="Tabla7" ref="A1:A8" totalsRowShown="0" headerRowDxfId="28" dataDxfId="27">
  <autoFilter ref="A1:A8" xr:uid="{5513192C-7FFA-403C-B8C6-BB2510FE5E30}"/>
  <tableColumns count="1">
    <tableColumn id="1" xr3:uid="{AB6813D2-07B5-4174-9E1F-00D8F64D0B8F}" name="GUIA RAPIDA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A09CD-2A5D-42A9-9ED5-66B59A7A1492}" name="Tabla1" displayName="Tabla1" ref="A1:B7" totalsRowShown="0">
  <autoFilter ref="A1:B7" xr:uid="{0B2A09CD-2A5D-42A9-9ED5-66B59A7A1492}"/>
  <tableColumns count="2">
    <tableColumn id="1" xr3:uid="{B6F2B5B5-7BD3-4DE4-94CC-B963BAF65E81}" name="DASHBOARD - TU TIENDA" dataDxfId="25"/>
    <tableColumn id="2" xr3:uid="{FDBCDD8E-1427-4AAC-AFC7-1500862FE5CE}" name="Columna1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69E848-A040-4AF7-9289-0AB128688DE9}" name="Tabla8" displayName="Tabla8" ref="A1:S501" totalsRowShown="0" headerRowDxfId="23" tableBorderDxfId="22">
  <autoFilter ref="A1:S501" xr:uid="{CA69E848-A040-4AF7-9289-0AB128688DE9}"/>
  <tableColumns count="19">
    <tableColumn id="1" xr3:uid="{9136AD50-1BAC-44F1-AE25-E3C2AADC3623}" name="FECHA" dataDxfId="21"/>
    <tableColumn id="2" xr3:uid="{38DBDA87-D22D-4AB8-9303-EE6E9BAC9C11}" name="VENTA_ID" dataDxfId="20">
      <calculatedColumnFormula>IF(A2="","", "V"&amp;TEXT(A2,"yymmdd")&amp;"-"&amp;TEXT(ROW()-1,"0000"))</calculatedColumnFormula>
    </tableColumn>
    <tableColumn id="3" xr3:uid="{409ACB2B-3065-49DE-BF74-0340E7A395A9}" name="CLIENTE_ID" dataDxfId="19">
      <calculatedColumnFormula>IF(D2="","",IFERROR(INDEX(tblClientes[ID],MATCH(D2,tblClientes[NOMBRE],0)),""))</calculatedColumnFormula>
    </tableColumn>
    <tableColumn id="4" xr3:uid="{9BFEE514-E098-4A07-A021-9E424EF7EAE6}" name="CLIENTE" dataDxfId="18"/>
    <tableColumn id="5" xr3:uid="{8FD790F1-10A4-4671-A520-D9783B0FBD2F}" name="PRODUCTO" dataDxfId="17"/>
    <tableColumn id="6" xr3:uid="{D7808CB3-FCC0-4229-A64C-1A41112F5729}" name="CATEGORIA" dataDxfId="16">
      <calculatedColumnFormula>IF(E2="","",IFERROR(INDEX(tblProductos[CATEGORIA],MATCH(E2,tblProductos[ITEM],0)),""))</calculatedColumnFormula>
    </tableColumn>
    <tableColumn id="7" xr3:uid="{8AAFB164-64D1-483A-8C69-07A113C1D366}" name="CANTIDAD" dataDxfId="15"/>
    <tableColumn id="8" xr3:uid="{66D45D93-FF60-4D9C-8794-9961B89841CE}" name="PRECIO_MANUAL" dataDxfId="14"/>
    <tableColumn id="9" xr3:uid="{C92AB614-CB4D-4089-AD40-85EFD45FE1BD}" name="PRECIO_LISTA" dataDxfId="13">
      <calculatedColumnFormula>IF(E2="","",IFERROR(INDEX(tblProductos[PRECIO_VENTA],MATCH(E2,tblProductos[ITEM],0)),""))</calculatedColumnFormula>
    </tableColumn>
    <tableColumn id="10" xr3:uid="{76A98CF5-9624-4E2B-A5BF-AC995A031C68}" name="PRECIO_USADO" dataDxfId="12">
      <calculatedColumnFormula>IF(H2="",I2,H2)</calculatedColumnFormula>
    </tableColumn>
    <tableColumn id="11" xr3:uid="{A32C3239-2447-4543-BF2C-82A0EB630BBD}" name="TOTAL_VENTA" dataDxfId="11">
      <calculatedColumnFormula>IF(G2="","",G2*J2)</calculatedColumnFormula>
    </tableColumn>
    <tableColumn id="12" xr3:uid="{0E67AB2F-93E8-4ACD-8129-F87B15576C04}" name="COSTO_UNIT" dataDxfId="10">
      <calculatedColumnFormula>IF(E2="","",IFERROR(INDEX(tblProductos[COSTO TOTAL],MATCH(E2,tblProductos[ITEM],0)),""))</calculatedColumnFormula>
    </tableColumn>
    <tableColumn id="13" xr3:uid="{A47BC5BD-1C0D-4125-910C-4EBCD4189B94}" name="COSTO_TOTAL" dataDxfId="9">
      <calculatedColumnFormula>IF(G2="","",G2*L2)</calculatedColumnFormula>
    </tableColumn>
    <tableColumn id="14" xr3:uid="{99C55728-16EC-4A15-8D4F-8EBCCB01CF01}" name="GANANCIA" dataDxfId="8">
      <calculatedColumnFormula>IF(K2="","",K2-M2)</calculatedColumnFormula>
    </tableColumn>
    <tableColumn id="15" xr3:uid="{666700D3-9078-41F6-8DE5-06F4F665D004}" name="METODO_PAGO" dataDxfId="7"/>
    <tableColumn id="16" xr3:uid="{D94A1BB2-7AEB-4133-9E6B-19B919F8D979}" name="CUENTA" dataDxfId="6"/>
    <tableColumn id="17" xr3:uid="{92CE7049-5D1B-4346-81D8-B416EFB43634}" name="ESTADO" dataDxfId="5"/>
    <tableColumn id="18" xr3:uid="{C528C718-03F5-4963-A3A5-315E8B3D8EE6}" name="NOTAS" dataDxfId="4"/>
    <tableColumn id="19" xr3:uid="{3B705108-22A2-4D36-B807-E894A013DEB9}" name="STOCK_DISP">
      <calculatedColumnFormula>IF(E2="","",IFERROR(INDEX(tblProductos[STOCK_ACTUAL],MATCH(E2,tblProductos[ITEM],0)),""))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mpras" displayName="tblCompras" ref="A1:K401">
  <autoFilter ref="A1:K401" xr:uid="{00000000-0009-0000-0100-000002000000}"/>
  <tableColumns count="11">
    <tableColumn id="1" xr3:uid="{00000000-0010-0000-0100-000001000000}" name="FECHA"/>
    <tableColumn id="2" xr3:uid="{00000000-0010-0000-0100-000002000000}" name="COMPRA_ID"/>
    <tableColumn id="3" xr3:uid="{00000000-0010-0000-0100-000003000000}" name="PROVEEDOR"/>
    <tableColumn id="4" xr3:uid="{00000000-0010-0000-0100-000004000000}" name="PRODUCTO"/>
    <tableColumn id="5" xr3:uid="{00000000-0010-0000-0100-000005000000}" name="CATEGORIA"/>
    <tableColumn id="6" xr3:uid="{00000000-0010-0000-0100-000006000000}" name="CANTIDAD"/>
    <tableColumn id="7" xr3:uid="{00000000-0010-0000-0100-000007000000}" name="COSTO_UNIT"/>
    <tableColumn id="8" xr3:uid="{00000000-0010-0000-0100-000008000000}" name="TOTAL_COMPRA"/>
    <tableColumn id="9" xr3:uid="{00000000-0010-0000-0100-000009000000}" name="METODO_PAGO"/>
    <tableColumn id="10" xr3:uid="{00000000-0010-0000-0100-00000A000000}" name="CUENTA"/>
    <tableColumn id="11" xr3:uid="{00000000-0010-0000-0100-00000B000000}" name="NOT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Gastos" displayName="tblGastos" ref="A1:J401">
  <autoFilter ref="A1:J401" xr:uid="{00000000-0009-0000-0100-000003000000}"/>
  <tableColumns count="10">
    <tableColumn id="1" xr3:uid="{00000000-0010-0000-0200-000001000000}" name="FECHA"/>
    <tableColumn id="2" xr3:uid="{00000000-0010-0000-0200-000002000000}" name="GASTO_ID"/>
    <tableColumn id="3" xr3:uid="{00000000-0010-0000-0200-000003000000}" name="PROVEEDOR"/>
    <tableColumn id="4" xr3:uid="{00000000-0010-0000-0200-000004000000}" name="CATEGORIA_GASTO"/>
    <tableColumn id="5" xr3:uid="{00000000-0010-0000-0200-000005000000}" name="CONCEPTO"/>
    <tableColumn id="6" xr3:uid="{00000000-0010-0000-0200-000006000000}" name="MONTO"/>
    <tableColumn id="7" xr3:uid="{00000000-0010-0000-0200-000007000000}" name="METODO_PAGO"/>
    <tableColumn id="8" xr3:uid="{00000000-0010-0000-0200-000008000000}" name="CUENTA"/>
    <tableColumn id="9" xr3:uid="{00000000-0010-0000-0200-000009000000}" name="ESTADO"/>
    <tableColumn id="10" xr3:uid="{00000000-0010-0000-0200-00000A000000}" name="NOT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Ingresos" displayName="tblIngresos" ref="A1:J401">
  <autoFilter ref="A1:J401" xr:uid="{00000000-0009-0000-0100-000004000000}"/>
  <tableColumns count="10">
    <tableColumn id="1" xr3:uid="{00000000-0010-0000-0300-000001000000}" name="FECHA"/>
    <tableColumn id="2" xr3:uid="{00000000-0010-0000-0300-000002000000}" name="INGRESO_ID"/>
    <tableColumn id="3" xr3:uid="{00000000-0010-0000-0300-000003000000}" name="FUENTE"/>
    <tableColumn id="4" xr3:uid="{00000000-0010-0000-0300-000004000000}" name="CATEGORIA_INGRESO"/>
    <tableColumn id="5" xr3:uid="{00000000-0010-0000-0300-000005000000}" name="CONCEPTO"/>
    <tableColumn id="6" xr3:uid="{00000000-0010-0000-0300-000006000000}" name="MONTO"/>
    <tableColumn id="7" xr3:uid="{00000000-0010-0000-0300-000007000000}" name="METODO_PAGO"/>
    <tableColumn id="8" xr3:uid="{00000000-0010-0000-0300-000008000000}" name="CUENTA"/>
    <tableColumn id="9" xr3:uid="{00000000-0010-0000-0300-000009000000}" name="ESTADO"/>
    <tableColumn id="10" xr3:uid="{00000000-0010-0000-0300-00000A000000}" name="NOT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roductos" displayName="tblProductos" ref="A1:K90">
  <autoFilter ref="A1:K90" xr:uid="{00000000-0009-0000-0100-000005000000}"/>
  <tableColumns count="11">
    <tableColumn id="1" xr3:uid="{00000000-0010-0000-0400-000001000000}" name="ITEM"/>
    <tableColumn id="2" xr3:uid="{00000000-0010-0000-0400-000002000000}" name="UNIDAD"/>
    <tableColumn id="3" xr3:uid="{00000000-0010-0000-0400-000003000000}" name="COSTO"/>
    <tableColumn id="4" xr3:uid="{00000000-0010-0000-0400-000004000000}" name="COSTO VINILO"/>
    <tableColumn id="5" xr3:uid="{00000000-0010-0000-0400-000005000000}" name="COSTO TOTAL"/>
    <tableColumn id="6" xr3:uid="{00000000-0010-0000-0400-000006000000}" name="CATEGORIA"/>
    <tableColumn id="7" xr3:uid="{00000000-0010-0000-0400-000007000000}" name="PRECIO_VENTA"/>
    <tableColumn id="8" xr3:uid="{00000000-0010-0000-0400-000008000000}" name="STOCK_MIN"/>
    <tableColumn id="9" xr3:uid="{00000000-0010-0000-0400-000009000000}" name="STOCK_ACTUAL"/>
    <tableColumn id="10" xr3:uid="{00000000-0010-0000-0400-00000A000000}" name="VALOR_INV"/>
    <tableColumn id="11" xr3:uid="{00000000-0010-0000-0400-00000B000000}" name="MARGEN_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lientes" displayName="tblClientes" ref="A1:G599" totalsRowCount="1">
  <autoFilter ref="A1:G598" xr:uid="{00000000-0009-0000-0100-000006000000}"/>
  <tableColumns count="7">
    <tableColumn id="1" xr3:uid="{00000000-0010-0000-0500-000001000000}" name="ID"/>
    <tableColumn id="2" xr3:uid="{00000000-0010-0000-0500-000002000000}" name="NOMBRE"/>
    <tableColumn id="3" xr3:uid="{00000000-0010-0000-0500-000003000000}" name="CELU"/>
    <tableColumn id="4" xr3:uid="{00000000-0010-0000-0500-000004000000}" name="UBICACIÓN"/>
    <tableColumn id="5" xr3:uid="{00000000-0010-0000-0500-000005000000}" name="EMAIL"/>
    <tableColumn id="6" xr3:uid="{00000000-0010-0000-0500-000006000000}" name="NOTAS"/>
    <tableColumn id="7" xr3:uid="{00000000-0010-0000-0500-000007000000}" name="ACTIV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https://maps.app.goo.gl/e7FwHjaRPHLXCEA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showGridLines="0" workbookViewId="0"/>
  </sheetViews>
  <sheetFormatPr baseColWidth="10" defaultColWidth="8.88671875" defaultRowHeight="14.4" x14ac:dyDescent="0.3"/>
  <cols>
    <col min="1" max="1" width="59.21875" bestFit="1" customWidth="1"/>
  </cols>
  <sheetData>
    <row r="1" spans="1:1" ht="21" x14ac:dyDescent="0.4">
      <c r="A1" s="10" t="s">
        <v>6</v>
      </c>
    </row>
    <row r="3" spans="1:1" x14ac:dyDescent="0.3">
      <c r="A3" s="11" t="s">
        <v>7</v>
      </c>
    </row>
    <row r="4" spans="1:1" x14ac:dyDescent="0.3">
      <c r="A4" s="11" t="s">
        <v>8</v>
      </c>
    </row>
    <row r="5" spans="1:1" x14ac:dyDescent="0.3">
      <c r="A5" s="11" t="s">
        <v>9</v>
      </c>
    </row>
    <row r="6" spans="1:1" x14ac:dyDescent="0.3">
      <c r="A6" s="11" t="s">
        <v>10</v>
      </c>
    </row>
    <row r="7" spans="1:1" x14ac:dyDescent="0.3">
      <c r="A7" s="11" t="s">
        <v>11</v>
      </c>
    </row>
    <row r="8" spans="1:1" x14ac:dyDescent="0.3">
      <c r="A8" s="11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B7" sqref="B7"/>
    </sheetView>
  </sheetViews>
  <sheetFormatPr baseColWidth="10" defaultColWidth="8.88671875" defaultRowHeight="14.4" x14ac:dyDescent="0.3"/>
  <cols>
    <col min="1" max="1" width="38.44140625" bestFit="1" customWidth="1"/>
    <col min="2" max="2" width="11.6640625" bestFit="1" customWidth="1"/>
    <col min="3" max="14" width="2" customWidth="1"/>
  </cols>
  <sheetData>
    <row r="1" spans="1:2" ht="23.4" x14ac:dyDescent="0.45">
      <c r="A1" s="6" t="s">
        <v>0</v>
      </c>
      <c r="B1" t="s">
        <v>212</v>
      </c>
    </row>
    <row r="3" spans="1:2" x14ac:dyDescent="0.3">
      <c r="A3" s="7" t="s">
        <v>1</v>
      </c>
    </row>
    <row r="4" spans="1:2" x14ac:dyDescent="0.3">
      <c r="A4" s="8" t="s">
        <v>2</v>
      </c>
      <c r="B4" s="9" t="e">
        <f ca="1">Resumen!A4</f>
        <v>#REF!</v>
      </c>
    </row>
    <row r="5" spans="1:2" x14ac:dyDescent="0.3">
      <c r="A5" s="8" t="s">
        <v>3</v>
      </c>
      <c r="B5" s="9" t="e">
        <f ca="1">Resumen!C4</f>
        <v>#REF!</v>
      </c>
    </row>
    <row r="6" spans="1:2" x14ac:dyDescent="0.3">
      <c r="A6" s="8" t="s">
        <v>4</v>
      </c>
      <c r="B6" s="9">
        <f ca="1">Resumen!E4</f>
        <v>0</v>
      </c>
    </row>
    <row r="7" spans="1:2" x14ac:dyDescent="0.3">
      <c r="A7" s="8" t="s">
        <v>5</v>
      </c>
      <c r="B7" s="9" t="e">
        <f ca="1">Resumen!G4</f>
        <v>#REF!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1"/>
  <sheetViews>
    <sheetView showGridLines="0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11.109375" bestFit="1" customWidth="1"/>
    <col min="2" max="2" width="13.44140625" bestFit="1" customWidth="1"/>
    <col min="3" max="3" width="14.88671875" bestFit="1" customWidth="1"/>
    <col min="4" max="4" width="14.109375" bestFit="1" customWidth="1"/>
    <col min="5" max="5" width="15.6640625" bestFit="1" customWidth="1"/>
    <col min="6" max="6" width="17.44140625" bestFit="1" customWidth="1"/>
    <col min="7" max="7" width="14.109375" bestFit="1" customWidth="1"/>
    <col min="8" max="8" width="19.6640625" bestFit="1" customWidth="1"/>
    <col min="9" max="9" width="17.109375" bestFit="1" customWidth="1"/>
    <col min="10" max="10" width="18.5546875" bestFit="1" customWidth="1"/>
    <col min="11" max="11" width="16.77734375" bestFit="1" customWidth="1"/>
    <col min="12" max="12" width="16.109375" bestFit="1" customWidth="1"/>
    <col min="13" max="13" width="17.21875" bestFit="1" customWidth="1"/>
    <col min="14" max="14" width="14.5546875" bestFit="1" customWidth="1"/>
    <col min="15" max="15" width="18.33203125" bestFit="1" customWidth="1"/>
    <col min="16" max="16" width="12.21875" bestFit="1" customWidth="1"/>
    <col min="17" max="17" width="12.109375" bestFit="1" customWidth="1"/>
    <col min="18" max="18" width="11.21875" bestFit="1" customWidth="1"/>
    <col min="19" max="19" width="13.6640625" bestFit="1" customWidth="1"/>
  </cols>
  <sheetData>
    <row r="1" spans="1:19" ht="28.8" x14ac:dyDescent="0.3">
      <c r="A1" s="39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20</v>
      </c>
      <c r="I1" s="12" t="s">
        <v>21</v>
      </c>
      <c r="J1" s="12" t="s">
        <v>22</v>
      </c>
      <c r="K1" s="12" t="s">
        <v>23</v>
      </c>
      <c r="L1" s="12" t="s">
        <v>24</v>
      </c>
      <c r="M1" s="12" t="s">
        <v>25</v>
      </c>
      <c r="N1" s="12" t="s">
        <v>26</v>
      </c>
      <c r="O1" s="12" t="s">
        <v>27</v>
      </c>
      <c r="P1" s="12" t="s">
        <v>28</v>
      </c>
      <c r="Q1" s="12" t="s">
        <v>29</v>
      </c>
      <c r="R1" s="12" t="s">
        <v>30</v>
      </c>
      <c r="S1" t="s">
        <v>31</v>
      </c>
    </row>
    <row r="2" spans="1:19" x14ac:dyDescent="0.3">
      <c r="A2" s="40">
        <v>46024</v>
      </c>
      <c r="B2" s="14" t="str">
        <f t="shared" ref="B2:B65" si="0">IF(A2="","", "V"&amp;TEXT(A2,"yymmdd")&amp;"-"&amp;TEXT(ROW()-1,"0000"))</f>
        <v>V260102-0001</v>
      </c>
      <c r="C2" s="14" t="str">
        <f>IF(D2="","",IFERROR(INDEX(tblClientes[ID],MATCH(D2,tblClientes[NOMBRE],0)),""))</f>
        <v>C001</v>
      </c>
      <c r="D2" s="14" t="s">
        <v>217</v>
      </c>
      <c r="E2" s="14" t="s">
        <v>33</v>
      </c>
      <c r="F2" s="14" t="str">
        <f>IF(E2="","",IFERROR(INDEX(tblProductos[CATEGORIA],MATCH(E2,tblProductos[ITEM],0)),""))</f>
        <v/>
      </c>
      <c r="G2" s="15">
        <v>1</v>
      </c>
      <c r="H2" s="16">
        <v>22580</v>
      </c>
      <c r="I2" s="16" t="str">
        <f>IF(E2="","",IFERROR(INDEX(tblProductos[PRECIO_VENTA],MATCH(E2,tblProductos[ITEM],0)),""))</f>
        <v/>
      </c>
      <c r="J2" s="16">
        <f t="shared" ref="J2:J65" si="1">IF(H2="",I2,H2)</f>
        <v>22580</v>
      </c>
      <c r="K2" s="16">
        <f t="shared" ref="K2:K65" si="2">IF(G2="","",G2*J2)</f>
        <v>22580</v>
      </c>
      <c r="L2" s="16" t="str">
        <f>IF(E2="","",IFERROR(INDEX(tblProductos[COSTO TOTAL],MATCH(E2,tblProductos[ITEM],0)),""))</f>
        <v/>
      </c>
      <c r="M2" s="16" t="e">
        <f t="shared" ref="M2:M65" si="3">IF(G2="","",G2*L2)</f>
        <v>#VALUE!</v>
      </c>
      <c r="N2" s="16" t="e">
        <f t="shared" ref="N2:N65" si="4">IF(K2="","",K2-M2)</f>
        <v>#VALUE!</v>
      </c>
      <c r="O2" s="14" t="s">
        <v>34</v>
      </c>
      <c r="P2" s="14" t="s">
        <v>35</v>
      </c>
      <c r="Q2" s="14" t="s">
        <v>36</v>
      </c>
      <c r="R2" s="14"/>
      <c r="S2" t="str">
        <f>IF(E2="","",IFERROR(INDEX(tblProductos[STOCK_ACTUAL],MATCH(E2,tblProductos[ITEM],0)),""))</f>
        <v/>
      </c>
    </row>
    <row r="3" spans="1:19" x14ac:dyDescent="0.3">
      <c r="A3" s="40">
        <v>46022</v>
      </c>
      <c r="B3" s="14" t="str">
        <f t="shared" si="0"/>
        <v>V251231-0002</v>
      </c>
      <c r="C3" s="14" t="s">
        <v>161</v>
      </c>
      <c r="D3" s="14"/>
      <c r="E3" s="14" t="s">
        <v>37</v>
      </c>
      <c r="F3" s="14" t="str">
        <f>IF(E3="","",IFERROR(INDEX(tblProductos[CATEGORIA],MATCH(E3,tblProductos[ITEM],0)),""))</f>
        <v/>
      </c>
      <c r="G3" s="15">
        <v>3</v>
      </c>
      <c r="H3" s="16">
        <v>3330</v>
      </c>
      <c r="I3" s="16" t="str">
        <f>IF(E3="","",IFERROR(INDEX(tblProductos[PRECIO_VENTA],MATCH(E3,tblProductos[ITEM],0)),""))</f>
        <v/>
      </c>
      <c r="J3" s="16">
        <f t="shared" si="1"/>
        <v>3330</v>
      </c>
      <c r="K3" s="16">
        <f t="shared" si="2"/>
        <v>9990</v>
      </c>
      <c r="L3" s="16" t="str">
        <f>IF(E3="","",IFERROR(INDEX(tblProductos[COSTO TOTAL],MATCH(E3,tblProductos[ITEM],0)),""))</f>
        <v/>
      </c>
      <c r="M3" s="16" t="e">
        <f t="shared" si="3"/>
        <v>#VALUE!</v>
      </c>
      <c r="N3" s="16" t="e">
        <f t="shared" si="4"/>
        <v>#VALUE!</v>
      </c>
      <c r="O3" s="14" t="s">
        <v>34</v>
      </c>
      <c r="P3" s="14" t="s">
        <v>35</v>
      </c>
      <c r="Q3" s="14" t="s">
        <v>36</v>
      </c>
      <c r="R3" s="14"/>
      <c r="S3" t="str">
        <f>IF(E3="","",IFERROR(INDEX(tblProductos[STOCK_ACTUAL],MATCH(E3,tblProductos[ITEM],0)),""))</f>
        <v/>
      </c>
    </row>
    <row r="4" spans="1:19" x14ac:dyDescent="0.3">
      <c r="A4" s="40">
        <v>46022</v>
      </c>
      <c r="B4" s="14" t="str">
        <f t="shared" si="0"/>
        <v>V251231-0003</v>
      </c>
      <c r="C4" s="14" t="str">
        <f>IF(D4="","",IFERROR(INDEX(tblClientes[ID],MATCH(D4,tblClientes[NOMBRE],0)),""))</f>
        <v/>
      </c>
      <c r="D4" s="14"/>
      <c r="E4" s="14" t="s">
        <v>38</v>
      </c>
      <c r="F4" s="14" t="str">
        <f>IF(E4="","",IFERROR(INDEX(tblProductos[CATEGORIA],MATCH(E4,tblProductos[ITEM],0)),""))</f>
        <v>SAPHIRUS VARILLAS</v>
      </c>
      <c r="G4" s="15">
        <v>1</v>
      </c>
      <c r="H4" s="16">
        <v>7200</v>
      </c>
      <c r="I4" s="16">
        <f>IF(E4="","",IFERROR(INDEX(tblProductos[PRECIO_VENTA],MATCH(E4,tblProductos[ITEM],0)),""))</f>
        <v>0</v>
      </c>
      <c r="J4" s="16">
        <f t="shared" si="1"/>
        <v>7200</v>
      </c>
      <c r="K4" s="16">
        <f t="shared" si="2"/>
        <v>7200</v>
      </c>
      <c r="L4" s="16">
        <f>IF(E4="","",IFERROR(INDEX(tblProductos[COSTO TOTAL],MATCH(E4,tblProductos[ITEM],0)),""))</f>
        <v>3412.8</v>
      </c>
      <c r="M4" s="16">
        <f t="shared" si="3"/>
        <v>3412.8</v>
      </c>
      <c r="N4" s="16">
        <f t="shared" si="4"/>
        <v>3787.2</v>
      </c>
      <c r="O4" s="14" t="s">
        <v>34</v>
      </c>
      <c r="P4" s="14" t="s">
        <v>35</v>
      </c>
      <c r="Q4" s="14" t="s">
        <v>36</v>
      </c>
      <c r="R4" s="14"/>
      <c r="S4">
        <f>IF(E4="","",IFERROR(INDEX(tblProductos[STOCK_ACTUAL],MATCH(E4,tblProductos[ITEM],0)),""))</f>
        <v>0</v>
      </c>
    </row>
    <row r="5" spans="1:19" x14ac:dyDescent="0.3">
      <c r="A5" s="40"/>
      <c r="B5" s="14" t="str">
        <f t="shared" si="0"/>
        <v/>
      </c>
      <c r="C5" s="14" t="str">
        <f>IF(D5="","",IFERROR(INDEX(tblClientes[ID],MATCH(D5,tblClientes[NOMBRE],0)),""))</f>
        <v/>
      </c>
      <c r="D5" s="14"/>
      <c r="E5" s="14"/>
      <c r="F5" s="14" t="str">
        <f>IF(E5="","",IFERROR(INDEX(tblProductos[CATEGORIA],MATCH(E5,tblProductos[ITEM],0)),""))</f>
        <v/>
      </c>
      <c r="G5" s="15"/>
      <c r="H5" s="16"/>
      <c r="I5" s="16" t="str">
        <f>IF(E5="","",IFERROR(INDEX(tblProductos[PRECIO_VENTA],MATCH(E5,tblProductos[ITEM],0)),""))</f>
        <v/>
      </c>
      <c r="J5" s="16" t="str">
        <f t="shared" si="1"/>
        <v/>
      </c>
      <c r="K5" s="16" t="str">
        <f t="shared" si="2"/>
        <v/>
      </c>
      <c r="L5" s="16" t="str">
        <f>IF(E5="","",IFERROR(INDEX(tblProductos[COSTO TOTAL],MATCH(E5,tblProductos[ITEM],0)),""))</f>
        <v/>
      </c>
      <c r="M5" s="16" t="str">
        <f t="shared" si="3"/>
        <v/>
      </c>
      <c r="N5" s="16" t="str">
        <f t="shared" si="4"/>
        <v/>
      </c>
      <c r="O5" s="14" t="s">
        <v>34</v>
      </c>
      <c r="P5" s="14" t="s">
        <v>35</v>
      </c>
      <c r="Q5" s="14" t="s">
        <v>36</v>
      </c>
      <c r="R5" s="14"/>
      <c r="S5" t="str">
        <f>IF(E5="","",IFERROR(INDEX(tblProductos[STOCK_ACTUAL],MATCH(E5,tblProductos[ITEM],0)),""))</f>
        <v/>
      </c>
    </row>
    <row r="6" spans="1:19" x14ac:dyDescent="0.3">
      <c r="A6" s="40"/>
      <c r="B6" s="14" t="str">
        <f t="shared" si="0"/>
        <v/>
      </c>
      <c r="C6" s="14" t="str">
        <f>IF(D6="","",IFERROR(INDEX(tblClientes[ID],MATCH(D6,tblClientes[NOMBRE],0)),""))</f>
        <v/>
      </c>
      <c r="D6" s="14"/>
      <c r="E6" s="14"/>
      <c r="F6" s="14" t="str">
        <f>IF(E6="","",IFERROR(INDEX(tblProductos[CATEGORIA],MATCH(E6,tblProductos[ITEM],0)),""))</f>
        <v/>
      </c>
      <c r="G6" s="15"/>
      <c r="H6" s="16"/>
      <c r="I6" s="16" t="str">
        <f>IF(E6="","",IFERROR(INDEX(tblProductos[PRECIO_VENTA],MATCH(E6,tblProductos[ITEM],0)),""))</f>
        <v/>
      </c>
      <c r="J6" s="16" t="str">
        <f t="shared" si="1"/>
        <v/>
      </c>
      <c r="K6" s="16" t="str">
        <f t="shared" si="2"/>
        <v/>
      </c>
      <c r="L6" s="16" t="str">
        <f>IF(E6="","",IFERROR(INDEX(tblProductos[COSTO TOTAL],MATCH(E6,tblProductos[ITEM],0)),""))</f>
        <v/>
      </c>
      <c r="M6" s="16" t="str">
        <f t="shared" si="3"/>
        <v/>
      </c>
      <c r="N6" s="16" t="str">
        <f t="shared" si="4"/>
        <v/>
      </c>
      <c r="O6" s="14" t="s">
        <v>34</v>
      </c>
      <c r="P6" s="14" t="s">
        <v>35</v>
      </c>
      <c r="Q6" s="14" t="s">
        <v>36</v>
      </c>
      <c r="R6" s="14"/>
      <c r="S6" t="str">
        <f>IF(E6="","",IFERROR(INDEX(tblProductos[STOCK_ACTUAL],MATCH(E6,tblProductos[ITEM],0)),""))</f>
        <v/>
      </c>
    </row>
    <row r="7" spans="1:19" x14ac:dyDescent="0.3">
      <c r="A7" s="40"/>
      <c r="B7" s="14" t="str">
        <f t="shared" si="0"/>
        <v/>
      </c>
      <c r="C7" s="14" t="str">
        <f>IF(D7="","",IFERROR(INDEX(tblClientes[ID],MATCH(D7,tblClientes[NOMBRE],0)),""))</f>
        <v/>
      </c>
      <c r="D7" s="14"/>
      <c r="E7" s="14"/>
      <c r="F7" s="14" t="str">
        <f>IF(E7="","",IFERROR(INDEX(tblProductos[CATEGORIA],MATCH(E7,tblProductos[ITEM],0)),""))</f>
        <v/>
      </c>
      <c r="G7" s="15"/>
      <c r="H7" s="16"/>
      <c r="I7" s="16" t="str">
        <f>IF(E7="","",IFERROR(INDEX(tblProductos[PRECIO_VENTA],MATCH(E7,tblProductos[ITEM],0)),""))</f>
        <v/>
      </c>
      <c r="J7" s="16" t="str">
        <f t="shared" si="1"/>
        <v/>
      </c>
      <c r="K7" s="16" t="str">
        <f t="shared" si="2"/>
        <v/>
      </c>
      <c r="L7" s="16" t="str">
        <f>IF(E7="","",IFERROR(INDEX(tblProductos[COSTO TOTAL],MATCH(E7,tblProductos[ITEM],0)),""))</f>
        <v/>
      </c>
      <c r="M7" s="16" t="str">
        <f t="shared" si="3"/>
        <v/>
      </c>
      <c r="N7" s="16" t="str">
        <f t="shared" si="4"/>
        <v/>
      </c>
      <c r="O7" s="14" t="s">
        <v>34</v>
      </c>
      <c r="P7" s="14" t="s">
        <v>35</v>
      </c>
      <c r="Q7" s="14" t="s">
        <v>36</v>
      </c>
      <c r="R7" s="14"/>
      <c r="S7" t="str">
        <f>IF(E7="","",IFERROR(INDEX(tblProductos[STOCK_ACTUAL],MATCH(E7,tblProductos[ITEM],0)),""))</f>
        <v/>
      </c>
    </row>
    <row r="8" spans="1:19" x14ac:dyDescent="0.3">
      <c r="A8" s="40"/>
      <c r="B8" s="14" t="str">
        <f t="shared" si="0"/>
        <v/>
      </c>
      <c r="C8" s="14" t="str">
        <f>IF(D8="","",IFERROR(INDEX(tblClientes[ID],MATCH(D8,tblClientes[NOMBRE],0)),""))</f>
        <v/>
      </c>
      <c r="D8" s="14"/>
      <c r="E8" s="14"/>
      <c r="F8" s="14" t="str">
        <f>IF(E8="","",IFERROR(INDEX(tblProductos[CATEGORIA],MATCH(E8,tblProductos[ITEM],0)),""))</f>
        <v/>
      </c>
      <c r="G8" s="15"/>
      <c r="H8" s="16"/>
      <c r="I8" s="16" t="str">
        <f>IF(E8="","",IFERROR(INDEX(tblProductos[PRECIO_VENTA],MATCH(E8,tblProductos[ITEM],0)),""))</f>
        <v/>
      </c>
      <c r="J8" s="16" t="str">
        <f t="shared" si="1"/>
        <v/>
      </c>
      <c r="K8" s="16" t="str">
        <f t="shared" si="2"/>
        <v/>
      </c>
      <c r="L8" s="16" t="str">
        <f>IF(E8="","",IFERROR(INDEX(tblProductos[COSTO TOTAL],MATCH(E8,tblProductos[ITEM],0)),""))</f>
        <v/>
      </c>
      <c r="M8" s="16" t="str">
        <f t="shared" si="3"/>
        <v/>
      </c>
      <c r="N8" s="16" t="str">
        <f t="shared" si="4"/>
        <v/>
      </c>
      <c r="O8" s="14" t="s">
        <v>34</v>
      </c>
      <c r="P8" s="14" t="s">
        <v>35</v>
      </c>
      <c r="Q8" s="14" t="s">
        <v>36</v>
      </c>
      <c r="R8" s="14"/>
      <c r="S8" t="str">
        <f>IF(E8="","",IFERROR(INDEX(tblProductos[STOCK_ACTUAL],MATCH(E8,tblProductos[ITEM],0)),""))</f>
        <v/>
      </c>
    </row>
    <row r="9" spans="1:19" x14ac:dyDescent="0.3">
      <c r="A9" s="40"/>
      <c r="B9" s="14" t="str">
        <f t="shared" si="0"/>
        <v/>
      </c>
      <c r="C9" s="14" t="str">
        <f>IF(D9="","",IFERROR(INDEX(tblClientes[ID],MATCH(D9,tblClientes[NOMBRE],0)),""))</f>
        <v/>
      </c>
      <c r="D9" s="14"/>
      <c r="E9" s="14"/>
      <c r="F9" s="14" t="str">
        <f>IF(E9="","",IFERROR(INDEX(tblProductos[CATEGORIA],MATCH(E9,tblProductos[ITEM],0)),""))</f>
        <v/>
      </c>
      <c r="G9" s="15"/>
      <c r="H9" s="16"/>
      <c r="I9" s="16" t="str">
        <f>IF(E9="","",IFERROR(INDEX(tblProductos[PRECIO_VENTA],MATCH(E9,tblProductos[ITEM],0)),""))</f>
        <v/>
      </c>
      <c r="J9" s="16" t="str">
        <f t="shared" si="1"/>
        <v/>
      </c>
      <c r="K9" s="16" t="str">
        <f t="shared" si="2"/>
        <v/>
      </c>
      <c r="L9" s="16" t="str">
        <f>IF(E9="","",IFERROR(INDEX(tblProductos[COSTO TOTAL],MATCH(E9,tblProductos[ITEM],0)),""))</f>
        <v/>
      </c>
      <c r="M9" s="16" t="str">
        <f t="shared" si="3"/>
        <v/>
      </c>
      <c r="N9" s="16" t="str">
        <f t="shared" si="4"/>
        <v/>
      </c>
      <c r="O9" s="14" t="s">
        <v>34</v>
      </c>
      <c r="P9" s="14" t="s">
        <v>35</v>
      </c>
      <c r="Q9" s="14" t="s">
        <v>36</v>
      </c>
      <c r="R9" s="14"/>
      <c r="S9" t="str">
        <f>IF(E9="","",IFERROR(INDEX(tblProductos[STOCK_ACTUAL],MATCH(E9,tblProductos[ITEM],0)),""))</f>
        <v/>
      </c>
    </row>
    <row r="10" spans="1:19" x14ac:dyDescent="0.3">
      <c r="A10" s="40"/>
      <c r="B10" s="14" t="str">
        <f t="shared" si="0"/>
        <v/>
      </c>
      <c r="C10" s="14" t="str">
        <f>IF(D10="","",IFERROR(INDEX(tblClientes[ID],MATCH(D10,tblClientes[NOMBRE],0)),""))</f>
        <v/>
      </c>
      <c r="D10" s="14"/>
      <c r="E10" s="14"/>
      <c r="F10" s="14" t="str">
        <f>IF(E10="","",IFERROR(INDEX(tblProductos[CATEGORIA],MATCH(E10,tblProductos[ITEM],0)),""))</f>
        <v/>
      </c>
      <c r="G10" s="15"/>
      <c r="H10" s="16"/>
      <c r="I10" s="16" t="str">
        <f>IF(E10="","",IFERROR(INDEX(tblProductos[PRECIO_VENTA],MATCH(E10,tblProductos[ITEM],0)),""))</f>
        <v/>
      </c>
      <c r="J10" s="16" t="str">
        <f t="shared" si="1"/>
        <v/>
      </c>
      <c r="K10" s="16" t="str">
        <f t="shared" si="2"/>
        <v/>
      </c>
      <c r="L10" s="16" t="str">
        <f>IF(E10="","",IFERROR(INDEX(tblProductos[COSTO TOTAL],MATCH(E10,tblProductos[ITEM],0)),""))</f>
        <v/>
      </c>
      <c r="M10" s="16" t="str">
        <f t="shared" si="3"/>
        <v/>
      </c>
      <c r="N10" s="16" t="str">
        <f t="shared" si="4"/>
        <v/>
      </c>
      <c r="O10" s="14" t="s">
        <v>34</v>
      </c>
      <c r="P10" s="14" t="s">
        <v>35</v>
      </c>
      <c r="Q10" s="14" t="s">
        <v>36</v>
      </c>
      <c r="R10" s="14"/>
      <c r="S10" t="str">
        <f>IF(E10="","",IFERROR(INDEX(tblProductos[STOCK_ACTUAL],MATCH(E10,tblProductos[ITEM],0)),""))</f>
        <v/>
      </c>
    </row>
    <row r="11" spans="1:19" x14ac:dyDescent="0.3">
      <c r="A11" s="40"/>
      <c r="B11" s="14" t="str">
        <f t="shared" si="0"/>
        <v/>
      </c>
      <c r="C11" s="14" t="str">
        <f>IF(D11="","",IFERROR(INDEX(tblClientes[ID],MATCH(D11,tblClientes[NOMBRE],0)),""))</f>
        <v/>
      </c>
      <c r="D11" s="14"/>
      <c r="E11" s="14"/>
      <c r="F11" s="14" t="str">
        <f>IF(E11="","",IFERROR(INDEX(tblProductos[CATEGORIA],MATCH(E11,tblProductos[ITEM],0)),""))</f>
        <v/>
      </c>
      <c r="G11" s="15"/>
      <c r="H11" s="16"/>
      <c r="I11" s="16" t="str">
        <f>IF(E11="","",IFERROR(INDEX(tblProductos[PRECIO_VENTA],MATCH(E11,tblProductos[ITEM],0)),""))</f>
        <v/>
      </c>
      <c r="J11" s="16" t="str">
        <f t="shared" si="1"/>
        <v/>
      </c>
      <c r="K11" s="16" t="str">
        <f t="shared" si="2"/>
        <v/>
      </c>
      <c r="L11" s="16" t="str">
        <f>IF(E11="","",IFERROR(INDEX(tblProductos[COSTO TOTAL],MATCH(E11,tblProductos[ITEM],0)),""))</f>
        <v/>
      </c>
      <c r="M11" s="16" t="str">
        <f t="shared" si="3"/>
        <v/>
      </c>
      <c r="N11" s="16" t="str">
        <f t="shared" si="4"/>
        <v/>
      </c>
      <c r="O11" s="14" t="s">
        <v>34</v>
      </c>
      <c r="P11" s="14" t="s">
        <v>35</v>
      </c>
      <c r="Q11" s="14" t="s">
        <v>36</v>
      </c>
      <c r="R11" s="14"/>
      <c r="S11" t="str">
        <f>IF(E11="","",IFERROR(INDEX(tblProductos[STOCK_ACTUAL],MATCH(E11,tblProductos[ITEM],0)),""))</f>
        <v/>
      </c>
    </row>
    <row r="12" spans="1:19" x14ac:dyDescent="0.3">
      <c r="A12" s="40"/>
      <c r="B12" s="14" t="str">
        <f t="shared" si="0"/>
        <v/>
      </c>
      <c r="C12" s="14" t="str">
        <f>IF(D12="","",IFERROR(INDEX(tblClientes[ID],MATCH(D12,tblClientes[NOMBRE],0)),""))</f>
        <v/>
      </c>
      <c r="D12" s="14"/>
      <c r="E12" s="14"/>
      <c r="F12" s="14" t="str">
        <f>IF(E12="","",IFERROR(INDEX(tblProductos[CATEGORIA],MATCH(E12,tblProductos[ITEM],0)),""))</f>
        <v/>
      </c>
      <c r="G12" s="15"/>
      <c r="H12" s="16"/>
      <c r="I12" s="16" t="str">
        <f>IF(E12="","",IFERROR(INDEX(tblProductos[PRECIO_VENTA],MATCH(E12,tblProductos[ITEM],0)),""))</f>
        <v/>
      </c>
      <c r="J12" s="16" t="str">
        <f t="shared" si="1"/>
        <v/>
      </c>
      <c r="K12" s="16" t="str">
        <f t="shared" si="2"/>
        <v/>
      </c>
      <c r="L12" s="16" t="str">
        <f>IF(E12="","",IFERROR(INDEX(tblProductos[COSTO TOTAL],MATCH(E12,tblProductos[ITEM],0)),""))</f>
        <v/>
      </c>
      <c r="M12" s="16" t="str">
        <f t="shared" si="3"/>
        <v/>
      </c>
      <c r="N12" s="16" t="str">
        <f t="shared" si="4"/>
        <v/>
      </c>
      <c r="O12" s="14" t="s">
        <v>34</v>
      </c>
      <c r="P12" s="14" t="s">
        <v>35</v>
      </c>
      <c r="Q12" s="14" t="s">
        <v>36</v>
      </c>
      <c r="R12" s="14"/>
      <c r="S12" t="str">
        <f>IF(E12="","",IFERROR(INDEX(tblProductos[STOCK_ACTUAL],MATCH(E12,tblProductos[ITEM],0)),""))</f>
        <v/>
      </c>
    </row>
    <row r="13" spans="1:19" x14ac:dyDescent="0.3">
      <c r="A13" s="40"/>
      <c r="B13" s="14" t="str">
        <f t="shared" si="0"/>
        <v/>
      </c>
      <c r="C13" s="14" t="str">
        <f>IF(D13="","",IFERROR(INDEX(tblClientes[ID],MATCH(D13,tblClientes[NOMBRE],0)),""))</f>
        <v/>
      </c>
      <c r="D13" s="14"/>
      <c r="E13" s="14"/>
      <c r="F13" s="14" t="str">
        <f>IF(E13="","",IFERROR(INDEX(tblProductos[CATEGORIA],MATCH(E13,tblProductos[ITEM],0)),""))</f>
        <v/>
      </c>
      <c r="G13" s="15"/>
      <c r="H13" s="16"/>
      <c r="I13" s="16" t="str">
        <f>IF(E13="","",IFERROR(INDEX(tblProductos[PRECIO_VENTA],MATCH(E13,tblProductos[ITEM],0)),""))</f>
        <v/>
      </c>
      <c r="J13" s="16" t="str">
        <f t="shared" si="1"/>
        <v/>
      </c>
      <c r="K13" s="16" t="str">
        <f t="shared" si="2"/>
        <v/>
      </c>
      <c r="L13" s="16" t="str">
        <f>IF(E13="","",IFERROR(INDEX(tblProductos[COSTO TOTAL],MATCH(E13,tblProductos[ITEM],0)),""))</f>
        <v/>
      </c>
      <c r="M13" s="16" t="str">
        <f t="shared" si="3"/>
        <v/>
      </c>
      <c r="N13" s="16" t="str">
        <f t="shared" si="4"/>
        <v/>
      </c>
      <c r="O13" s="14" t="s">
        <v>34</v>
      </c>
      <c r="P13" s="14" t="s">
        <v>35</v>
      </c>
      <c r="Q13" s="14" t="s">
        <v>36</v>
      </c>
      <c r="R13" s="14"/>
      <c r="S13" t="str">
        <f>IF(E13="","",IFERROR(INDEX(tblProductos[STOCK_ACTUAL],MATCH(E13,tblProductos[ITEM],0)),""))</f>
        <v/>
      </c>
    </row>
    <row r="14" spans="1:19" x14ac:dyDescent="0.3">
      <c r="A14" s="40"/>
      <c r="B14" s="14" t="str">
        <f t="shared" si="0"/>
        <v/>
      </c>
      <c r="C14" s="14" t="str">
        <f>IF(D14="","",IFERROR(INDEX(tblClientes[ID],MATCH(D14,tblClientes[NOMBRE],0)),""))</f>
        <v/>
      </c>
      <c r="D14" s="14"/>
      <c r="E14" s="14"/>
      <c r="F14" s="14" t="str">
        <f>IF(E14="","",IFERROR(INDEX(tblProductos[CATEGORIA],MATCH(E14,tblProductos[ITEM],0)),""))</f>
        <v/>
      </c>
      <c r="G14" s="15"/>
      <c r="H14" s="16"/>
      <c r="I14" s="16" t="str">
        <f>IF(E14="","",IFERROR(INDEX(tblProductos[PRECIO_VENTA],MATCH(E14,tblProductos[ITEM],0)),""))</f>
        <v/>
      </c>
      <c r="J14" s="16" t="str">
        <f t="shared" si="1"/>
        <v/>
      </c>
      <c r="K14" s="16" t="str">
        <f t="shared" si="2"/>
        <v/>
      </c>
      <c r="L14" s="16" t="str">
        <f>IF(E14="","",IFERROR(INDEX(tblProductos[COSTO TOTAL],MATCH(E14,tblProductos[ITEM],0)),""))</f>
        <v/>
      </c>
      <c r="M14" s="16" t="str">
        <f t="shared" si="3"/>
        <v/>
      </c>
      <c r="N14" s="16" t="str">
        <f t="shared" si="4"/>
        <v/>
      </c>
      <c r="O14" s="14" t="s">
        <v>34</v>
      </c>
      <c r="P14" s="14" t="s">
        <v>35</v>
      </c>
      <c r="Q14" s="14" t="s">
        <v>36</v>
      </c>
      <c r="R14" s="14"/>
      <c r="S14" t="str">
        <f>IF(E14="","",IFERROR(INDEX(tblProductos[STOCK_ACTUAL],MATCH(E14,tblProductos[ITEM],0)),""))</f>
        <v/>
      </c>
    </row>
    <row r="15" spans="1:19" x14ac:dyDescent="0.3">
      <c r="A15" s="40"/>
      <c r="B15" s="14" t="str">
        <f t="shared" si="0"/>
        <v/>
      </c>
      <c r="C15" s="14" t="str">
        <f>IF(D15="","",IFERROR(INDEX(tblClientes[ID],MATCH(D15,tblClientes[NOMBRE],0)),""))</f>
        <v/>
      </c>
      <c r="D15" s="14"/>
      <c r="E15" s="14"/>
      <c r="F15" s="14" t="str">
        <f>IF(E15="","",IFERROR(INDEX(tblProductos[CATEGORIA],MATCH(E15,tblProductos[ITEM],0)),""))</f>
        <v/>
      </c>
      <c r="G15" s="15"/>
      <c r="H15" s="16"/>
      <c r="I15" s="16" t="str">
        <f>IF(E15="","",IFERROR(INDEX(tblProductos[PRECIO_VENTA],MATCH(E15,tblProductos[ITEM],0)),""))</f>
        <v/>
      </c>
      <c r="J15" s="16" t="str">
        <f t="shared" si="1"/>
        <v/>
      </c>
      <c r="K15" s="16" t="str">
        <f t="shared" si="2"/>
        <v/>
      </c>
      <c r="L15" s="16" t="str">
        <f>IF(E15="","",IFERROR(INDEX(tblProductos[COSTO TOTAL],MATCH(E15,tblProductos[ITEM],0)),""))</f>
        <v/>
      </c>
      <c r="M15" s="16" t="str">
        <f t="shared" si="3"/>
        <v/>
      </c>
      <c r="N15" s="16" t="str">
        <f t="shared" si="4"/>
        <v/>
      </c>
      <c r="O15" s="14" t="s">
        <v>34</v>
      </c>
      <c r="P15" s="14" t="s">
        <v>35</v>
      </c>
      <c r="Q15" s="14" t="s">
        <v>36</v>
      </c>
      <c r="R15" s="14"/>
      <c r="S15" t="str">
        <f>IF(E15="","",IFERROR(INDEX(tblProductos[STOCK_ACTUAL],MATCH(E15,tblProductos[ITEM],0)),""))</f>
        <v/>
      </c>
    </row>
    <row r="16" spans="1:19" x14ac:dyDescent="0.3">
      <c r="A16" s="40"/>
      <c r="B16" s="14" t="str">
        <f t="shared" si="0"/>
        <v/>
      </c>
      <c r="C16" s="14" t="str">
        <f>IF(D16="","",IFERROR(INDEX(tblClientes[ID],MATCH(D16,tblClientes[NOMBRE],0)),""))</f>
        <v/>
      </c>
      <c r="D16" s="14"/>
      <c r="E16" s="14"/>
      <c r="F16" s="14" t="str">
        <f>IF(E16="","",IFERROR(INDEX(tblProductos[CATEGORIA],MATCH(E16,tblProductos[ITEM],0)),""))</f>
        <v/>
      </c>
      <c r="G16" s="15"/>
      <c r="H16" s="16"/>
      <c r="I16" s="16" t="str">
        <f>IF(E16="","",IFERROR(INDEX(tblProductos[PRECIO_VENTA],MATCH(E16,tblProductos[ITEM],0)),""))</f>
        <v/>
      </c>
      <c r="J16" s="16" t="str">
        <f t="shared" si="1"/>
        <v/>
      </c>
      <c r="K16" s="16" t="str">
        <f t="shared" si="2"/>
        <v/>
      </c>
      <c r="L16" s="16" t="str">
        <f>IF(E16="","",IFERROR(INDEX(tblProductos[COSTO TOTAL],MATCH(E16,tblProductos[ITEM],0)),""))</f>
        <v/>
      </c>
      <c r="M16" s="16" t="str">
        <f t="shared" si="3"/>
        <v/>
      </c>
      <c r="N16" s="16" t="str">
        <f t="shared" si="4"/>
        <v/>
      </c>
      <c r="O16" s="14" t="s">
        <v>34</v>
      </c>
      <c r="P16" s="14" t="s">
        <v>35</v>
      </c>
      <c r="Q16" s="14" t="s">
        <v>36</v>
      </c>
      <c r="R16" s="14"/>
      <c r="S16" t="str">
        <f>IF(E16="","",IFERROR(INDEX(tblProductos[STOCK_ACTUAL],MATCH(E16,tblProductos[ITEM],0)),""))</f>
        <v/>
      </c>
    </row>
    <row r="17" spans="1:19" x14ac:dyDescent="0.3">
      <c r="A17" s="40"/>
      <c r="B17" s="14" t="str">
        <f t="shared" si="0"/>
        <v/>
      </c>
      <c r="C17" s="14" t="str">
        <f>IF(D17="","",IFERROR(INDEX(tblClientes[ID],MATCH(D17,tblClientes[NOMBRE],0)),""))</f>
        <v/>
      </c>
      <c r="D17" s="14"/>
      <c r="E17" s="14"/>
      <c r="F17" s="14" t="str">
        <f>IF(E17="","",IFERROR(INDEX(tblProductos[CATEGORIA],MATCH(E17,tblProductos[ITEM],0)),""))</f>
        <v/>
      </c>
      <c r="G17" s="15"/>
      <c r="H17" s="16"/>
      <c r="I17" s="16" t="str">
        <f>IF(E17="","",IFERROR(INDEX(tblProductos[PRECIO_VENTA],MATCH(E17,tblProductos[ITEM],0)),""))</f>
        <v/>
      </c>
      <c r="J17" s="16" t="str">
        <f t="shared" si="1"/>
        <v/>
      </c>
      <c r="K17" s="16" t="str">
        <f t="shared" si="2"/>
        <v/>
      </c>
      <c r="L17" s="16" t="str">
        <f>IF(E17="","",IFERROR(INDEX(tblProductos[COSTO TOTAL],MATCH(E17,tblProductos[ITEM],0)),""))</f>
        <v/>
      </c>
      <c r="M17" s="16" t="str">
        <f t="shared" si="3"/>
        <v/>
      </c>
      <c r="N17" s="16" t="str">
        <f t="shared" si="4"/>
        <v/>
      </c>
      <c r="O17" s="14" t="s">
        <v>34</v>
      </c>
      <c r="P17" s="14" t="s">
        <v>35</v>
      </c>
      <c r="Q17" s="14" t="s">
        <v>36</v>
      </c>
      <c r="R17" s="14"/>
      <c r="S17" t="str">
        <f>IF(E17="","",IFERROR(INDEX(tblProductos[STOCK_ACTUAL],MATCH(E17,tblProductos[ITEM],0)),""))</f>
        <v/>
      </c>
    </row>
    <row r="18" spans="1:19" x14ac:dyDescent="0.3">
      <c r="A18" s="40"/>
      <c r="B18" s="14" t="str">
        <f t="shared" si="0"/>
        <v/>
      </c>
      <c r="C18" s="14" t="str">
        <f>IF(D18="","",IFERROR(INDEX(tblClientes[ID],MATCH(D18,tblClientes[NOMBRE],0)),""))</f>
        <v/>
      </c>
      <c r="D18" s="14"/>
      <c r="E18" s="14"/>
      <c r="F18" s="14" t="str">
        <f>IF(E18="","",IFERROR(INDEX(tblProductos[CATEGORIA],MATCH(E18,tblProductos[ITEM],0)),""))</f>
        <v/>
      </c>
      <c r="G18" s="15"/>
      <c r="H18" s="16"/>
      <c r="I18" s="16" t="str">
        <f>IF(E18="","",IFERROR(INDEX(tblProductos[PRECIO_VENTA],MATCH(E18,tblProductos[ITEM],0)),""))</f>
        <v/>
      </c>
      <c r="J18" s="16" t="str">
        <f t="shared" si="1"/>
        <v/>
      </c>
      <c r="K18" s="16" t="str">
        <f t="shared" si="2"/>
        <v/>
      </c>
      <c r="L18" s="16" t="str">
        <f>IF(E18="","",IFERROR(INDEX(tblProductos[COSTO TOTAL],MATCH(E18,tblProductos[ITEM],0)),""))</f>
        <v/>
      </c>
      <c r="M18" s="16" t="str">
        <f t="shared" si="3"/>
        <v/>
      </c>
      <c r="N18" s="16" t="str">
        <f t="shared" si="4"/>
        <v/>
      </c>
      <c r="O18" s="14" t="s">
        <v>34</v>
      </c>
      <c r="P18" s="14" t="s">
        <v>35</v>
      </c>
      <c r="Q18" s="14" t="s">
        <v>36</v>
      </c>
      <c r="R18" s="14"/>
      <c r="S18" t="str">
        <f>IF(E18="","",IFERROR(INDEX(tblProductos[STOCK_ACTUAL],MATCH(E18,tblProductos[ITEM],0)),""))</f>
        <v/>
      </c>
    </row>
    <row r="19" spans="1:19" x14ac:dyDescent="0.3">
      <c r="A19" s="40"/>
      <c r="B19" s="14" t="str">
        <f t="shared" si="0"/>
        <v/>
      </c>
      <c r="C19" s="14" t="str">
        <f>IF(D19="","",IFERROR(INDEX(tblClientes[ID],MATCH(D19,tblClientes[NOMBRE],0)),""))</f>
        <v/>
      </c>
      <c r="D19" s="14"/>
      <c r="E19" s="14"/>
      <c r="F19" s="14" t="str">
        <f>IF(E19="","",IFERROR(INDEX(tblProductos[CATEGORIA],MATCH(E19,tblProductos[ITEM],0)),""))</f>
        <v/>
      </c>
      <c r="G19" s="15"/>
      <c r="H19" s="16"/>
      <c r="I19" s="16" t="str">
        <f>IF(E19="","",IFERROR(INDEX(tblProductos[PRECIO_VENTA],MATCH(E19,tblProductos[ITEM],0)),""))</f>
        <v/>
      </c>
      <c r="J19" s="16" t="str">
        <f t="shared" si="1"/>
        <v/>
      </c>
      <c r="K19" s="16" t="str">
        <f t="shared" si="2"/>
        <v/>
      </c>
      <c r="L19" s="16" t="str">
        <f>IF(E19="","",IFERROR(INDEX(tblProductos[COSTO TOTAL],MATCH(E19,tblProductos[ITEM],0)),""))</f>
        <v/>
      </c>
      <c r="M19" s="16" t="str">
        <f t="shared" si="3"/>
        <v/>
      </c>
      <c r="N19" s="16" t="str">
        <f t="shared" si="4"/>
        <v/>
      </c>
      <c r="O19" s="14" t="s">
        <v>34</v>
      </c>
      <c r="P19" s="14" t="s">
        <v>35</v>
      </c>
      <c r="Q19" s="14" t="s">
        <v>36</v>
      </c>
      <c r="R19" s="14"/>
      <c r="S19" t="str">
        <f>IF(E19="","",IFERROR(INDEX(tblProductos[STOCK_ACTUAL],MATCH(E19,tblProductos[ITEM],0)),""))</f>
        <v/>
      </c>
    </row>
    <row r="20" spans="1:19" x14ac:dyDescent="0.3">
      <c r="A20" s="40"/>
      <c r="B20" s="14" t="str">
        <f t="shared" si="0"/>
        <v/>
      </c>
      <c r="C20" s="14" t="str">
        <f>IF(D20="","",IFERROR(INDEX(tblClientes[ID],MATCH(D20,tblClientes[NOMBRE],0)),""))</f>
        <v/>
      </c>
      <c r="D20" s="14"/>
      <c r="E20" s="14"/>
      <c r="F20" s="14" t="str">
        <f>IF(E20="","",IFERROR(INDEX(tblProductos[CATEGORIA],MATCH(E20,tblProductos[ITEM],0)),""))</f>
        <v/>
      </c>
      <c r="G20" s="15"/>
      <c r="H20" s="16"/>
      <c r="I20" s="16" t="str">
        <f>IF(E20="","",IFERROR(INDEX(tblProductos[PRECIO_VENTA],MATCH(E20,tblProductos[ITEM],0)),""))</f>
        <v/>
      </c>
      <c r="J20" s="16" t="str">
        <f t="shared" si="1"/>
        <v/>
      </c>
      <c r="K20" s="16" t="str">
        <f t="shared" si="2"/>
        <v/>
      </c>
      <c r="L20" s="16" t="str">
        <f>IF(E20="","",IFERROR(INDEX(tblProductos[COSTO TOTAL],MATCH(E20,tblProductos[ITEM],0)),""))</f>
        <v/>
      </c>
      <c r="M20" s="16" t="str">
        <f t="shared" si="3"/>
        <v/>
      </c>
      <c r="N20" s="16" t="str">
        <f t="shared" si="4"/>
        <v/>
      </c>
      <c r="O20" s="14" t="s">
        <v>34</v>
      </c>
      <c r="P20" s="14" t="s">
        <v>35</v>
      </c>
      <c r="Q20" s="14" t="s">
        <v>36</v>
      </c>
      <c r="R20" s="14"/>
      <c r="S20" t="str">
        <f>IF(E20="","",IFERROR(INDEX(tblProductos[STOCK_ACTUAL],MATCH(E20,tblProductos[ITEM],0)),""))</f>
        <v/>
      </c>
    </row>
    <row r="21" spans="1:19" x14ac:dyDescent="0.3">
      <c r="A21" s="40"/>
      <c r="B21" s="14" t="str">
        <f t="shared" si="0"/>
        <v/>
      </c>
      <c r="C21" s="14" t="str">
        <f>IF(D21="","",IFERROR(INDEX(tblClientes[ID],MATCH(D21,tblClientes[NOMBRE],0)),""))</f>
        <v/>
      </c>
      <c r="D21" s="14"/>
      <c r="E21" s="14"/>
      <c r="F21" s="14" t="str">
        <f>IF(E21="","",IFERROR(INDEX(tblProductos[CATEGORIA],MATCH(E21,tblProductos[ITEM],0)),""))</f>
        <v/>
      </c>
      <c r="G21" s="15"/>
      <c r="H21" s="16"/>
      <c r="I21" s="16" t="str">
        <f>IF(E21="","",IFERROR(INDEX(tblProductos[PRECIO_VENTA],MATCH(E21,tblProductos[ITEM],0)),""))</f>
        <v/>
      </c>
      <c r="J21" s="16" t="str">
        <f t="shared" si="1"/>
        <v/>
      </c>
      <c r="K21" s="16" t="str">
        <f t="shared" si="2"/>
        <v/>
      </c>
      <c r="L21" s="16" t="str">
        <f>IF(E21="","",IFERROR(INDEX(tblProductos[COSTO TOTAL],MATCH(E21,tblProductos[ITEM],0)),""))</f>
        <v/>
      </c>
      <c r="M21" s="16" t="str">
        <f t="shared" si="3"/>
        <v/>
      </c>
      <c r="N21" s="16" t="str">
        <f t="shared" si="4"/>
        <v/>
      </c>
      <c r="O21" s="14" t="s">
        <v>34</v>
      </c>
      <c r="P21" s="14" t="s">
        <v>35</v>
      </c>
      <c r="Q21" s="14" t="s">
        <v>36</v>
      </c>
      <c r="R21" s="14"/>
      <c r="S21" t="str">
        <f>IF(E21="","",IFERROR(INDEX(tblProductos[STOCK_ACTUAL],MATCH(E21,tblProductos[ITEM],0)),""))</f>
        <v/>
      </c>
    </row>
    <row r="22" spans="1:19" x14ac:dyDescent="0.3">
      <c r="A22" s="40"/>
      <c r="B22" s="14" t="str">
        <f t="shared" si="0"/>
        <v/>
      </c>
      <c r="C22" s="14" t="str">
        <f>IF(D22="","",IFERROR(INDEX(tblClientes[ID],MATCH(D22,tblClientes[NOMBRE],0)),""))</f>
        <v/>
      </c>
      <c r="D22" s="14"/>
      <c r="E22" s="14"/>
      <c r="F22" s="14" t="str">
        <f>IF(E22="","",IFERROR(INDEX(tblProductos[CATEGORIA],MATCH(E22,tblProductos[ITEM],0)),""))</f>
        <v/>
      </c>
      <c r="G22" s="15"/>
      <c r="H22" s="16"/>
      <c r="I22" s="16" t="str">
        <f>IF(E22="","",IFERROR(INDEX(tblProductos[PRECIO_VENTA],MATCH(E22,tblProductos[ITEM],0)),""))</f>
        <v/>
      </c>
      <c r="J22" s="16" t="str">
        <f t="shared" si="1"/>
        <v/>
      </c>
      <c r="K22" s="16" t="str">
        <f t="shared" si="2"/>
        <v/>
      </c>
      <c r="L22" s="16" t="str">
        <f>IF(E22="","",IFERROR(INDEX(tblProductos[COSTO TOTAL],MATCH(E22,tblProductos[ITEM],0)),""))</f>
        <v/>
      </c>
      <c r="M22" s="16" t="str">
        <f t="shared" si="3"/>
        <v/>
      </c>
      <c r="N22" s="16" t="str">
        <f t="shared" si="4"/>
        <v/>
      </c>
      <c r="O22" s="14" t="s">
        <v>34</v>
      </c>
      <c r="P22" s="14" t="s">
        <v>35</v>
      </c>
      <c r="Q22" s="14" t="s">
        <v>36</v>
      </c>
      <c r="R22" s="14"/>
      <c r="S22" t="str">
        <f>IF(E22="","",IFERROR(INDEX(tblProductos[STOCK_ACTUAL],MATCH(E22,tblProductos[ITEM],0)),""))</f>
        <v/>
      </c>
    </row>
    <row r="23" spans="1:19" x14ac:dyDescent="0.3">
      <c r="A23" s="40"/>
      <c r="B23" s="14" t="str">
        <f t="shared" si="0"/>
        <v/>
      </c>
      <c r="C23" s="14" t="str">
        <f>IF(D23="","",IFERROR(INDEX(tblClientes[ID],MATCH(D23,tblClientes[NOMBRE],0)),""))</f>
        <v/>
      </c>
      <c r="D23" s="14"/>
      <c r="E23" s="14"/>
      <c r="F23" s="14" t="str">
        <f>IF(E23="","",IFERROR(INDEX(tblProductos[CATEGORIA],MATCH(E23,tblProductos[ITEM],0)),""))</f>
        <v/>
      </c>
      <c r="G23" s="15"/>
      <c r="H23" s="16"/>
      <c r="I23" s="16" t="str">
        <f>IF(E23="","",IFERROR(INDEX(tblProductos[PRECIO_VENTA],MATCH(E23,tblProductos[ITEM],0)),""))</f>
        <v/>
      </c>
      <c r="J23" s="16" t="str">
        <f t="shared" si="1"/>
        <v/>
      </c>
      <c r="K23" s="16" t="str">
        <f t="shared" si="2"/>
        <v/>
      </c>
      <c r="L23" s="16" t="str">
        <f>IF(E23="","",IFERROR(INDEX(tblProductos[COSTO TOTAL],MATCH(E23,tblProductos[ITEM],0)),""))</f>
        <v/>
      </c>
      <c r="M23" s="16" t="str">
        <f t="shared" si="3"/>
        <v/>
      </c>
      <c r="N23" s="16" t="str">
        <f t="shared" si="4"/>
        <v/>
      </c>
      <c r="O23" s="14" t="s">
        <v>34</v>
      </c>
      <c r="P23" s="14" t="s">
        <v>35</v>
      </c>
      <c r="Q23" s="14" t="s">
        <v>36</v>
      </c>
      <c r="R23" s="14"/>
      <c r="S23" t="str">
        <f>IF(E23="","",IFERROR(INDEX(tblProductos[STOCK_ACTUAL],MATCH(E23,tblProductos[ITEM],0)),""))</f>
        <v/>
      </c>
    </row>
    <row r="24" spans="1:19" x14ac:dyDescent="0.3">
      <c r="A24" s="40"/>
      <c r="B24" s="14" t="str">
        <f t="shared" si="0"/>
        <v/>
      </c>
      <c r="C24" s="14" t="str">
        <f>IF(D24="","",IFERROR(INDEX(tblClientes[ID],MATCH(D24,tblClientes[NOMBRE],0)),""))</f>
        <v/>
      </c>
      <c r="D24" s="14"/>
      <c r="E24" s="14"/>
      <c r="F24" s="14" t="str">
        <f>IF(E24="","",IFERROR(INDEX(tblProductos[CATEGORIA],MATCH(E24,tblProductos[ITEM],0)),""))</f>
        <v/>
      </c>
      <c r="G24" s="15"/>
      <c r="H24" s="16"/>
      <c r="I24" s="16" t="str">
        <f>IF(E24="","",IFERROR(INDEX(tblProductos[PRECIO_VENTA],MATCH(E24,tblProductos[ITEM],0)),""))</f>
        <v/>
      </c>
      <c r="J24" s="16" t="str">
        <f t="shared" si="1"/>
        <v/>
      </c>
      <c r="K24" s="16" t="str">
        <f t="shared" si="2"/>
        <v/>
      </c>
      <c r="L24" s="16" t="str">
        <f>IF(E24="","",IFERROR(INDEX(tblProductos[COSTO TOTAL],MATCH(E24,tblProductos[ITEM],0)),""))</f>
        <v/>
      </c>
      <c r="M24" s="16" t="str">
        <f t="shared" si="3"/>
        <v/>
      </c>
      <c r="N24" s="16" t="str">
        <f t="shared" si="4"/>
        <v/>
      </c>
      <c r="O24" s="14" t="s">
        <v>34</v>
      </c>
      <c r="P24" s="14" t="s">
        <v>35</v>
      </c>
      <c r="Q24" s="14" t="s">
        <v>36</v>
      </c>
      <c r="R24" s="14"/>
      <c r="S24" t="str">
        <f>IF(E24="","",IFERROR(INDEX(tblProductos[STOCK_ACTUAL],MATCH(E24,tblProductos[ITEM],0)),""))</f>
        <v/>
      </c>
    </row>
    <row r="25" spans="1:19" x14ac:dyDescent="0.3">
      <c r="A25" s="40"/>
      <c r="B25" s="14" t="str">
        <f t="shared" si="0"/>
        <v/>
      </c>
      <c r="C25" s="14" t="str">
        <f>IF(D25="","",IFERROR(INDEX(tblClientes[ID],MATCH(D25,tblClientes[NOMBRE],0)),""))</f>
        <v/>
      </c>
      <c r="D25" s="14"/>
      <c r="E25" s="14"/>
      <c r="F25" s="14" t="str">
        <f>IF(E25="","",IFERROR(INDEX(tblProductos[CATEGORIA],MATCH(E25,tblProductos[ITEM],0)),""))</f>
        <v/>
      </c>
      <c r="G25" s="15"/>
      <c r="H25" s="16"/>
      <c r="I25" s="16" t="str">
        <f>IF(E25="","",IFERROR(INDEX(tblProductos[PRECIO_VENTA],MATCH(E25,tblProductos[ITEM],0)),""))</f>
        <v/>
      </c>
      <c r="J25" s="16" t="str">
        <f t="shared" si="1"/>
        <v/>
      </c>
      <c r="K25" s="16" t="str">
        <f t="shared" si="2"/>
        <v/>
      </c>
      <c r="L25" s="16" t="str">
        <f>IF(E25="","",IFERROR(INDEX(tblProductos[COSTO TOTAL],MATCH(E25,tblProductos[ITEM],0)),""))</f>
        <v/>
      </c>
      <c r="M25" s="16" t="str">
        <f t="shared" si="3"/>
        <v/>
      </c>
      <c r="N25" s="16" t="str">
        <f t="shared" si="4"/>
        <v/>
      </c>
      <c r="O25" s="14" t="s">
        <v>34</v>
      </c>
      <c r="P25" s="14" t="s">
        <v>35</v>
      </c>
      <c r="Q25" s="14" t="s">
        <v>36</v>
      </c>
      <c r="R25" s="14"/>
      <c r="S25" t="str">
        <f>IF(E25="","",IFERROR(INDEX(tblProductos[STOCK_ACTUAL],MATCH(E25,tblProductos[ITEM],0)),""))</f>
        <v/>
      </c>
    </row>
    <row r="26" spans="1:19" x14ac:dyDescent="0.3">
      <c r="A26" s="40"/>
      <c r="B26" s="14" t="str">
        <f t="shared" si="0"/>
        <v/>
      </c>
      <c r="C26" s="14" t="str">
        <f>IF(D26="","",IFERROR(INDEX(tblClientes[ID],MATCH(D26,tblClientes[NOMBRE],0)),""))</f>
        <v/>
      </c>
      <c r="D26" s="14"/>
      <c r="E26" s="14"/>
      <c r="F26" s="14" t="str">
        <f>IF(E26="","",IFERROR(INDEX(tblProductos[CATEGORIA],MATCH(E26,tblProductos[ITEM],0)),""))</f>
        <v/>
      </c>
      <c r="G26" s="15"/>
      <c r="H26" s="16"/>
      <c r="I26" s="16" t="str">
        <f>IF(E26="","",IFERROR(INDEX(tblProductos[PRECIO_VENTA],MATCH(E26,tblProductos[ITEM],0)),""))</f>
        <v/>
      </c>
      <c r="J26" s="16" t="str">
        <f t="shared" si="1"/>
        <v/>
      </c>
      <c r="K26" s="16" t="str">
        <f t="shared" si="2"/>
        <v/>
      </c>
      <c r="L26" s="16" t="str">
        <f>IF(E26="","",IFERROR(INDEX(tblProductos[COSTO TOTAL],MATCH(E26,tblProductos[ITEM],0)),""))</f>
        <v/>
      </c>
      <c r="M26" s="16" t="str">
        <f t="shared" si="3"/>
        <v/>
      </c>
      <c r="N26" s="16" t="str">
        <f t="shared" si="4"/>
        <v/>
      </c>
      <c r="O26" s="14" t="s">
        <v>34</v>
      </c>
      <c r="P26" s="14" t="s">
        <v>35</v>
      </c>
      <c r="Q26" s="14" t="s">
        <v>36</v>
      </c>
      <c r="R26" s="14"/>
      <c r="S26" t="str">
        <f>IF(E26="","",IFERROR(INDEX(tblProductos[STOCK_ACTUAL],MATCH(E26,tblProductos[ITEM],0)),""))</f>
        <v/>
      </c>
    </row>
    <row r="27" spans="1:19" x14ac:dyDescent="0.3">
      <c r="A27" s="40"/>
      <c r="B27" s="14" t="str">
        <f t="shared" si="0"/>
        <v/>
      </c>
      <c r="C27" s="14" t="str">
        <f>IF(D27="","",IFERROR(INDEX(tblClientes[ID],MATCH(D27,tblClientes[NOMBRE],0)),""))</f>
        <v/>
      </c>
      <c r="D27" s="14"/>
      <c r="E27" s="14"/>
      <c r="F27" s="14" t="str">
        <f>IF(E27="","",IFERROR(INDEX(tblProductos[CATEGORIA],MATCH(E27,tblProductos[ITEM],0)),""))</f>
        <v/>
      </c>
      <c r="G27" s="15"/>
      <c r="H27" s="16"/>
      <c r="I27" s="16" t="str">
        <f>IF(E27="","",IFERROR(INDEX(tblProductos[PRECIO_VENTA],MATCH(E27,tblProductos[ITEM],0)),""))</f>
        <v/>
      </c>
      <c r="J27" s="16" t="str">
        <f t="shared" si="1"/>
        <v/>
      </c>
      <c r="K27" s="16" t="str">
        <f t="shared" si="2"/>
        <v/>
      </c>
      <c r="L27" s="16" t="str">
        <f>IF(E27="","",IFERROR(INDEX(tblProductos[COSTO TOTAL],MATCH(E27,tblProductos[ITEM],0)),""))</f>
        <v/>
      </c>
      <c r="M27" s="16" t="str">
        <f t="shared" si="3"/>
        <v/>
      </c>
      <c r="N27" s="16" t="str">
        <f t="shared" si="4"/>
        <v/>
      </c>
      <c r="O27" s="14" t="s">
        <v>34</v>
      </c>
      <c r="P27" s="14" t="s">
        <v>35</v>
      </c>
      <c r="Q27" s="14" t="s">
        <v>36</v>
      </c>
      <c r="R27" s="14"/>
      <c r="S27" t="str">
        <f>IF(E27="","",IFERROR(INDEX(tblProductos[STOCK_ACTUAL],MATCH(E27,tblProductos[ITEM],0)),""))</f>
        <v/>
      </c>
    </row>
    <row r="28" spans="1:19" x14ac:dyDescent="0.3">
      <c r="A28" s="40"/>
      <c r="B28" s="14" t="str">
        <f t="shared" si="0"/>
        <v/>
      </c>
      <c r="C28" s="14" t="str">
        <f>IF(D28="","",IFERROR(INDEX(tblClientes[ID],MATCH(D28,tblClientes[NOMBRE],0)),""))</f>
        <v/>
      </c>
      <c r="D28" s="14"/>
      <c r="E28" s="14"/>
      <c r="F28" s="14" t="str">
        <f>IF(E28="","",IFERROR(INDEX(tblProductos[CATEGORIA],MATCH(E28,tblProductos[ITEM],0)),""))</f>
        <v/>
      </c>
      <c r="G28" s="15"/>
      <c r="H28" s="16"/>
      <c r="I28" s="16" t="str">
        <f>IF(E28="","",IFERROR(INDEX(tblProductos[PRECIO_VENTA],MATCH(E28,tblProductos[ITEM],0)),""))</f>
        <v/>
      </c>
      <c r="J28" s="16" t="str">
        <f t="shared" si="1"/>
        <v/>
      </c>
      <c r="K28" s="16" t="str">
        <f t="shared" si="2"/>
        <v/>
      </c>
      <c r="L28" s="16" t="str">
        <f>IF(E28="","",IFERROR(INDEX(tblProductos[COSTO TOTAL],MATCH(E28,tblProductos[ITEM],0)),""))</f>
        <v/>
      </c>
      <c r="M28" s="16" t="str">
        <f t="shared" si="3"/>
        <v/>
      </c>
      <c r="N28" s="16" t="str">
        <f t="shared" si="4"/>
        <v/>
      </c>
      <c r="O28" s="14" t="s">
        <v>34</v>
      </c>
      <c r="P28" s="14" t="s">
        <v>35</v>
      </c>
      <c r="Q28" s="14" t="s">
        <v>36</v>
      </c>
      <c r="R28" s="14"/>
      <c r="S28" t="str">
        <f>IF(E28="","",IFERROR(INDEX(tblProductos[STOCK_ACTUAL],MATCH(E28,tblProductos[ITEM],0)),""))</f>
        <v/>
      </c>
    </row>
    <row r="29" spans="1:19" x14ac:dyDescent="0.3">
      <c r="A29" s="40"/>
      <c r="B29" s="14" t="str">
        <f t="shared" si="0"/>
        <v/>
      </c>
      <c r="C29" s="14" t="str">
        <f>IF(D29="","",IFERROR(INDEX(tblClientes[ID],MATCH(D29,tblClientes[NOMBRE],0)),""))</f>
        <v/>
      </c>
      <c r="D29" s="14"/>
      <c r="E29" s="14"/>
      <c r="F29" s="14" t="str">
        <f>IF(E29="","",IFERROR(INDEX(tblProductos[CATEGORIA],MATCH(E29,tblProductos[ITEM],0)),""))</f>
        <v/>
      </c>
      <c r="G29" s="15"/>
      <c r="H29" s="16"/>
      <c r="I29" s="16" t="str">
        <f>IF(E29="","",IFERROR(INDEX(tblProductos[PRECIO_VENTA],MATCH(E29,tblProductos[ITEM],0)),""))</f>
        <v/>
      </c>
      <c r="J29" s="16" t="str">
        <f t="shared" si="1"/>
        <v/>
      </c>
      <c r="K29" s="16" t="str">
        <f t="shared" si="2"/>
        <v/>
      </c>
      <c r="L29" s="16" t="str">
        <f>IF(E29="","",IFERROR(INDEX(tblProductos[COSTO TOTAL],MATCH(E29,tblProductos[ITEM],0)),""))</f>
        <v/>
      </c>
      <c r="M29" s="16" t="str">
        <f t="shared" si="3"/>
        <v/>
      </c>
      <c r="N29" s="16" t="str">
        <f t="shared" si="4"/>
        <v/>
      </c>
      <c r="O29" s="14" t="s">
        <v>34</v>
      </c>
      <c r="P29" s="14" t="s">
        <v>35</v>
      </c>
      <c r="Q29" s="14" t="s">
        <v>36</v>
      </c>
      <c r="R29" s="14"/>
      <c r="S29" t="str">
        <f>IF(E29="","",IFERROR(INDEX(tblProductos[STOCK_ACTUAL],MATCH(E29,tblProductos[ITEM],0)),""))</f>
        <v/>
      </c>
    </row>
    <row r="30" spans="1:19" x14ac:dyDescent="0.3">
      <c r="A30" s="40"/>
      <c r="B30" s="14" t="str">
        <f t="shared" si="0"/>
        <v/>
      </c>
      <c r="C30" s="14" t="str">
        <f>IF(D30="","",IFERROR(INDEX(tblClientes[ID],MATCH(D30,tblClientes[NOMBRE],0)),""))</f>
        <v/>
      </c>
      <c r="D30" s="14"/>
      <c r="E30" s="14"/>
      <c r="F30" s="14" t="str">
        <f>IF(E30="","",IFERROR(INDEX(tblProductos[CATEGORIA],MATCH(E30,tblProductos[ITEM],0)),""))</f>
        <v/>
      </c>
      <c r="G30" s="15"/>
      <c r="H30" s="16"/>
      <c r="I30" s="16" t="str">
        <f>IF(E30="","",IFERROR(INDEX(tblProductos[PRECIO_VENTA],MATCH(E30,tblProductos[ITEM],0)),""))</f>
        <v/>
      </c>
      <c r="J30" s="16" t="str">
        <f t="shared" si="1"/>
        <v/>
      </c>
      <c r="K30" s="16" t="str">
        <f t="shared" si="2"/>
        <v/>
      </c>
      <c r="L30" s="16" t="str">
        <f>IF(E30="","",IFERROR(INDEX(tblProductos[COSTO TOTAL],MATCH(E30,tblProductos[ITEM],0)),""))</f>
        <v/>
      </c>
      <c r="M30" s="16" t="str">
        <f t="shared" si="3"/>
        <v/>
      </c>
      <c r="N30" s="16" t="str">
        <f t="shared" si="4"/>
        <v/>
      </c>
      <c r="O30" s="14" t="s">
        <v>34</v>
      </c>
      <c r="P30" s="14" t="s">
        <v>35</v>
      </c>
      <c r="Q30" s="14" t="s">
        <v>36</v>
      </c>
      <c r="R30" s="14"/>
      <c r="S30" t="str">
        <f>IF(E30="","",IFERROR(INDEX(tblProductos[STOCK_ACTUAL],MATCH(E30,tblProductos[ITEM],0)),""))</f>
        <v/>
      </c>
    </row>
    <row r="31" spans="1:19" x14ac:dyDescent="0.3">
      <c r="A31" s="40"/>
      <c r="B31" s="14" t="str">
        <f t="shared" si="0"/>
        <v/>
      </c>
      <c r="C31" s="14" t="str">
        <f>IF(D31="","",IFERROR(INDEX(tblClientes[ID],MATCH(D31,tblClientes[NOMBRE],0)),""))</f>
        <v/>
      </c>
      <c r="D31" s="14"/>
      <c r="E31" s="14"/>
      <c r="F31" s="14" t="str">
        <f>IF(E31="","",IFERROR(INDEX(tblProductos[CATEGORIA],MATCH(E31,tblProductos[ITEM],0)),""))</f>
        <v/>
      </c>
      <c r="G31" s="15"/>
      <c r="H31" s="16"/>
      <c r="I31" s="16" t="str">
        <f>IF(E31="","",IFERROR(INDEX(tblProductos[PRECIO_VENTA],MATCH(E31,tblProductos[ITEM],0)),""))</f>
        <v/>
      </c>
      <c r="J31" s="16" t="str">
        <f t="shared" si="1"/>
        <v/>
      </c>
      <c r="K31" s="16" t="str">
        <f t="shared" si="2"/>
        <v/>
      </c>
      <c r="L31" s="16" t="str">
        <f>IF(E31="","",IFERROR(INDEX(tblProductos[COSTO TOTAL],MATCH(E31,tblProductos[ITEM],0)),""))</f>
        <v/>
      </c>
      <c r="M31" s="16" t="str">
        <f t="shared" si="3"/>
        <v/>
      </c>
      <c r="N31" s="16" t="str">
        <f t="shared" si="4"/>
        <v/>
      </c>
      <c r="O31" s="14" t="s">
        <v>34</v>
      </c>
      <c r="P31" s="14" t="s">
        <v>35</v>
      </c>
      <c r="Q31" s="14" t="s">
        <v>36</v>
      </c>
      <c r="R31" s="14"/>
      <c r="S31" t="str">
        <f>IF(E31="","",IFERROR(INDEX(tblProductos[STOCK_ACTUAL],MATCH(E31,tblProductos[ITEM],0)),""))</f>
        <v/>
      </c>
    </row>
    <row r="32" spans="1:19" x14ac:dyDescent="0.3">
      <c r="A32" s="40"/>
      <c r="B32" s="14" t="str">
        <f t="shared" si="0"/>
        <v/>
      </c>
      <c r="C32" s="14" t="str">
        <f>IF(D32="","",IFERROR(INDEX(tblClientes[ID],MATCH(D32,tblClientes[NOMBRE],0)),""))</f>
        <v/>
      </c>
      <c r="D32" s="14"/>
      <c r="E32" s="14"/>
      <c r="F32" s="14" t="str">
        <f>IF(E32="","",IFERROR(INDEX(tblProductos[CATEGORIA],MATCH(E32,tblProductos[ITEM],0)),""))</f>
        <v/>
      </c>
      <c r="G32" s="15"/>
      <c r="H32" s="16"/>
      <c r="I32" s="16" t="str">
        <f>IF(E32="","",IFERROR(INDEX(tblProductos[PRECIO_VENTA],MATCH(E32,tblProductos[ITEM],0)),""))</f>
        <v/>
      </c>
      <c r="J32" s="16" t="str">
        <f t="shared" si="1"/>
        <v/>
      </c>
      <c r="K32" s="16" t="str">
        <f t="shared" si="2"/>
        <v/>
      </c>
      <c r="L32" s="16" t="str">
        <f>IF(E32="","",IFERROR(INDEX(tblProductos[COSTO TOTAL],MATCH(E32,tblProductos[ITEM],0)),""))</f>
        <v/>
      </c>
      <c r="M32" s="16" t="str">
        <f t="shared" si="3"/>
        <v/>
      </c>
      <c r="N32" s="16" t="str">
        <f t="shared" si="4"/>
        <v/>
      </c>
      <c r="O32" s="14" t="s">
        <v>34</v>
      </c>
      <c r="P32" s="14" t="s">
        <v>35</v>
      </c>
      <c r="Q32" s="14" t="s">
        <v>36</v>
      </c>
      <c r="R32" s="14"/>
      <c r="S32" t="str">
        <f>IF(E32="","",IFERROR(INDEX(tblProductos[STOCK_ACTUAL],MATCH(E32,tblProductos[ITEM],0)),""))</f>
        <v/>
      </c>
    </row>
    <row r="33" spans="1:19" x14ac:dyDescent="0.3">
      <c r="A33" s="40"/>
      <c r="B33" s="14" t="str">
        <f t="shared" si="0"/>
        <v/>
      </c>
      <c r="C33" s="14" t="str">
        <f>IF(D33="","",IFERROR(INDEX(tblClientes[ID],MATCH(D33,tblClientes[NOMBRE],0)),""))</f>
        <v/>
      </c>
      <c r="D33" s="14"/>
      <c r="E33" s="14"/>
      <c r="F33" s="14" t="str">
        <f>IF(E33="","",IFERROR(INDEX(tblProductos[CATEGORIA],MATCH(E33,tblProductos[ITEM],0)),""))</f>
        <v/>
      </c>
      <c r="G33" s="15"/>
      <c r="H33" s="16"/>
      <c r="I33" s="16" t="str">
        <f>IF(E33="","",IFERROR(INDEX(tblProductos[PRECIO_VENTA],MATCH(E33,tblProductos[ITEM],0)),""))</f>
        <v/>
      </c>
      <c r="J33" s="16" t="str">
        <f t="shared" si="1"/>
        <v/>
      </c>
      <c r="K33" s="16" t="str">
        <f t="shared" si="2"/>
        <v/>
      </c>
      <c r="L33" s="16" t="str">
        <f>IF(E33="","",IFERROR(INDEX(tblProductos[COSTO TOTAL],MATCH(E33,tblProductos[ITEM],0)),""))</f>
        <v/>
      </c>
      <c r="M33" s="16" t="str">
        <f t="shared" si="3"/>
        <v/>
      </c>
      <c r="N33" s="16" t="str">
        <f t="shared" si="4"/>
        <v/>
      </c>
      <c r="O33" s="14" t="s">
        <v>34</v>
      </c>
      <c r="P33" s="14" t="s">
        <v>35</v>
      </c>
      <c r="Q33" s="14" t="s">
        <v>36</v>
      </c>
      <c r="R33" s="14"/>
      <c r="S33" t="str">
        <f>IF(E33="","",IFERROR(INDEX(tblProductos[STOCK_ACTUAL],MATCH(E33,tblProductos[ITEM],0)),""))</f>
        <v/>
      </c>
    </row>
    <row r="34" spans="1:19" x14ac:dyDescent="0.3">
      <c r="A34" s="40"/>
      <c r="B34" s="14" t="str">
        <f t="shared" si="0"/>
        <v/>
      </c>
      <c r="C34" s="14" t="str">
        <f>IF(D34="","",IFERROR(INDEX(tblClientes[ID],MATCH(D34,tblClientes[NOMBRE],0)),""))</f>
        <v/>
      </c>
      <c r="D34" s="14"/>
      <c r="E34" s="14"/>
      <c r="F34" s="14" t="str">
        <f>IF(E34="","",IFERROR(INDEX(tblProductos[CATEGORIA],MATCH(E34,tblProductos[ITEM],0)),""))</f>
        <v/>
      </c>
      <c r="G34" s="15"/>
      <c r="H34" s="16"/>
      <c r="I34" s="16" t="str">
        <f>IF(E34="","",IFERROR(INDEX(tblProductos[PRECIO_VENTA],MATCH(E34,tblProductos[ITEM],0)),""))</f>
        <v/>
      </c>
      <c r="J34" s="16" t="str">
        <f t="shared" si="1"/>
        <v/>
      </c>
      <c r="K34" s="16" t="str">
        <f t="shared" si="2"/>
        <v/>
      </c>
      <c r="L34" s="16" t="str">
        <f>IF(E34="","",IFERROR(INDEX(tblProductos[COSTO TOTAL],MATCH(E34,tblProductos[ITEM],0)),""))</f>
        <v/>
      </c>
      <c r="M34" s="16" t="str">
        <f t="shared" si="3"/>
        <v/>
      </c>
      <c r="N34" s="16" t="str">
        <f t="shared" si="4"/>
        <v/>
      </c>
      <c r="O34" s="14" t="s">
        <v>34</v>
      </c>
      <c r="P34" s="14" t="s">
        <v>35</v>
      </c>
      <c r="Q34" s="14" t="s">
        <v>36</v>
      </c>
      <c r="R34" s="14"/>
      <c r="S34" t="str">
        <f>IF(E34="","",IFERROR(INDEX(tblProductos[STOCK_ACTUAL],MATCH(E34,tblProductos[ITEM],0)),""))</f>
        <v/>
      </c>
    </row>
    <row r="35" spans="1:19" x14ac:dyDescent="0.3">
      <c r="A35" s="40"/>
      <c r="B35" s="14" t="str">
        <f t="shared" si="0"/>
        <v/>
      </c>
      <c r="C35" s="14" t="str">
        <f>IF(D35="","",IFERROR(INDEX(tblClientes[ID],MATCH(D35,tblClientes[NOMBRE],0)),""))</f>
        <v/>
      </c>
      <c r="D35" s="14"/>
      <c r="E35" s="14"/>
      <c r="F35" s="14" t="str">
        <f>IF(E35="","",IFERROR(INDEX(tblProductos[CATEGORIA],MATCH(E35,tblProductos[ITEM],0)),""))</f>
        <v/>
      </c>
      <c r="G35" s="15"/>
      <c r="H35" s="16"/>
      <c r="I35" s="16" t="str">
        <f>IF(E35="","",IFERROR(INDEX(tblProductos[PRECIO_VENTA],MATCH(E35,tblProductos[ITEM],0)),""))</f>
        <v/>
      </c>
      <c r="J35" s="16" t="str">
        <f t="shared" si="1"/>
        <v/>
      </c>
      <c r="K35" s="16" t="str">
        <f t="shared" si="2"/>
        <v/>
      </c>
      <c r="L35" s="16" t="str">
        <f>IF(E35="","",IFERROR(INDEX(tblProductos[COSTO TOTAL],MATCH(E35,tblProductos[ITEM],0)),""))</f>
        <v/>
      </c>
      <c r="M35" s="16" t="str">
        <f t="shared" si="3"/>
        <v/>
      </c>
      <c r="N35" s="16" t="str">
        <f t="shared" si="4"/>
        <v/>
      </c>
      <c r="O35" s="14" t="s">
        <v>34</v>
      </c>
      <c r="P35" s="14" t="s">
        <v>35</v>
      </c>
      <c r="Q35" s="14" t="s">
        <v>36</v>
      </c>
      <c r="R35" s="14"/>
      <c r="S35" t="str">
        <f>IF(E35="","",IFERROR(INDEX(tblProductos[STOCK_ACTUAL],MATCH(E35,tblProductos[ITEM],0)),""))</f>
        <v/>
      </c>
    </row>
    <row r="36" spans="1:19" x14ac:dyDescent="0.3">
      <c r="A36" s="40"/>
      <c r="B36" s="14" t="str">
        <f t="shared" si="0"/>
        <v/>
      </c>
      <c r="C36" s="14" t="str">
        <f>IF(D36="","",IFERROR(INDEX(tblClientes[ID],MATCH(D36,tblClientes[NOMBRE],0)),""))</f>
        <v/>
      </c>
      <c r="D36" s="14"/>
      <c r="E36" s="14"/>
      <c r="F36" s="14" t="str">
        <f>IF(E36="","",IFERROR(INDEX(tblProductos[CATEGORIA],MATCH(E36,tblProductos[ITEM],0)),""))</f>
        <v/>
      </c>
      <c r="G36" s="15"/>
      <c r="H36" s="16"/>
      <c r="I36" s="16" t="str">
        <f>IF(E36="","",IFERROR(INDEX(tblProductos[PRECIO_VENTA],MATCH(E36,tblProductos[ITEM],0)),""))</f>
        <v/>
      </c>
      <c r="J36" s="16" t="str">
        <f t="shared" si="1"/>
        <v/>
      </c>
      <c r="K36" s="16" t="str">
        <f t="shared" si="2"/>
        <v/>
      </c>
      <c r="L36" s="16" t="str">
        <f>IF(E36="","",IFERROR(INDEX(tblProductos[COSTO TOTAL],MATCH(E36,tblProductos[ITEM],0)),""))</f>
        <v/>
      </c>
      <c r="M36" s="16" t="str">
        <f t="shared" si="3"/>
        <v/>
      </c>
      <c r="N36" s="16" t="str">
        <f t="shared" si="4"/>
        <v/>
      </c>
      <c r="O36" s="14" t="s">
        <v>34</v>
      </c>
      <c r="P36" s="14" t="s">
        <v>35</v>
      </c>
      <c r="Q36" s="14" t="s">
        <v>36</v>
      </c>
      <c r="R36" s="14"/>
      <c r="S36" t="str">
        <f>IF(E36="","",IFERROR(INDEX(tblProductos[STOCK_ACTUAL],MATCH(E36,tblProductos[ITEM],0)),""))</f>
        <v/>
      </c>
    </row>
    <row r="37" spans="1:19" x14ac:dyDescent="0.3">
      <c r="A37" s="40"/>
      <c r="B37" s="14" t="str">
        <f t="shared" si="0"/>
        <v/>
      </c>
      <c r="C37" s="14" t="str">
        <f>IF(D37="","",IFERROR(INDEX(tblClientes[ID],MATCH(D37,tblClientes[NOMBRE],0)),""))</f>
        <v/>
      </c>
      <c r="D37" s="14"/>
      <c r="E37" s="14"/>
      <c r="F37" s="14" t="str">
        <f>IF(E37="","",IFERROR(INDEX(tblProductos[CATEGORIA],MATCH(E37,tblProductos[ITEM],0)),""))</f>
        <v/>
      </c>
      <c r="G37" s="15"/>
      <c r="H37" s="16"/>
      <c r="I37" s="16" t="str">
        <f>IF(E37="","",IFERROR(INDEX(tblProductos[PRECIO_VENTA],MATCH(E37,tblProductos[ITEM],0)),""))</f>
        <v/>
      </c>
      <c r="J37" s="16" t="str">
        <f t="shared" si="1"/>
        <v/>
      </c>
      <c r="K37" s="16" t="str">
        <f t="shared" si="2"/>
        <v/>
      </c>
      <c r="L37" s="16" t="str">
        <f>IF(E37="","",IFERROR(INDEX(tblProductos[COSTO TOTAL],MATCH(E37,tblProductos[ITEM],0)),""))</f>
        <v/>
      </c>
      <c r="M37" s="16" t="str">
        <f t="shared" si="3"/>
        <v/>
      </c>
      <c r="N37" s="16" t="str">
        <f t="shared" si="4"/>
        <v/>
      </c>
      <c r="O37" s="14" t="s">
        <v>34</v>
      </c>
      <c r="P37" s="14" t="s">
        <v>35</v>
      </c>
      <c r="Q37" s="14" t="s">
        <v>36</v>
      </c>
      <c r="R37" s="14"/>
      <c r="S37" t="str">
        <f>IF(E37="","",IFERROR(INDEX(tblProductos[STOCK_ACTUAL],MATCH(E37,tblProductos[ITEM],0)),""))</f>
        <v/>
      </c>
    </row>
    <row r="38" spans="1:19" x14ac:dyDescent="0.3">
      <c r="A38" s="40"/>
      <c r="B38" s="14" t="str">
        <f t="shared" si="0"/>
        <v/>
      </c>
      <c r="C38" s="14" t="str">
        <f>IF(D38="","",IFERROR(INDEX(tblClientes[ID],MATCH(D38,tblClientes[NOMBRE],0)),""))</f>
        <v/>
      </c>
      <c r="D38" s="14"/>
      <c r="E38" s="14"/>
      <c r="F38" s="14" t="str">
        <f>IF(E38="","",IFERROR(INDEX(tblProductos[CATEGORIA],MATCH(E38,tblProductos[ITEM],0)),""))</f>
        <v/>
      </c>
      <c r="G38" s="15"/>
      <c r="H38" s="16"/>
      <c r="I38" s="16" t="str">
        <f>IF(E38="","",IFERROR(INDEX(tblProductos[PRECIO_VENTA],MATCH(E38,tblProductos[ITEM],0)),""))</f>
        <v/>
      </c>
      <c r="J38" s="16" t="str">
        <f t="shared" si="1"/>
        <v/>
      </c>
      <c r="K38" s="16" t="str">
        <f t="shared" si="2"/>
        <v/>
      </c>
      <c r="L38" s="16" t="str">
        <f>IF(E38="","",IFERROR(INDEX(tblProductos[COSTO TOTAL],MATCH(E38,tblProductos[ITEM],0)),""))</f>
        <v/>
      </c>
      <c r="M38" s="16" t="str">
        <f t="shared" si="3"/>
        <v/>
      </c>
      <c r="N38" s="16" t="str">
        <f t="shared" si="4"/>
        <v/>
      </c>
      <c r="O38" s="14" t="s">
        <v>34</v>
      </c>
      <c r="P38" s="14" t="s">
        <v>35</v>
      </c>
      <c r="Q38" s="14" t="s">
        <v>36</v>
      </c>
      <c r="R38" s="14"/>
      <c r="S38" t="str">
        <f>IF(E38="","",IFERROR(INDEX(tblProductos[STOCK_ACTUAL],MATCH(E38,tblProductos[ITEM],0)),""))</f>
        <v/>
      </c>
    </row>
    <row r="39" spans="1:19" x14ac:dyDescent="0.3">
      <c r="A39" s="40"/>
      <c r="B39" s="14" t="str">
        <f t="shared" si="0"/>
        <v/>
      </c>
      <c r="C39" s="14" t="str">
        <f>IF(D39="","",IFERROR(INDEX(tblClientes[ID],MATCH(D39,tblClientes[NOMBRE],0)),""))</f>
        <v/>
      </c>
      <c r="D39" s="14"/>
      <c r="E39" s="14"/>
      <c r="F39" s="14" t="str">
        <f>IF(E39="","",IFERROR(INDEX(tblProductos[CATEGORIA],MATCH(E39,tblProductos[ITEM],0)),""))</f>
        <v/>
      </c>
      <c r="G39" s="15"/>
      <c r="H39" s="16"/>
      <c r="I39" s="16" t="str">
        <f>IF(E39="","",IFERROR(INDEX(tblProductos[PRECIO_VENTA],MATCH(E39,tblProductos[ITEM],0)),""))</f>
        <v/>
      </c>
      <c r="J39" s="16" t="str">
        <f t="shared" si="1"/>
        <v/>
      </c>
      <c r="K39" s="16" t="str">
        <f t="shared" si="2"/>
        <v/>
      </c>
      <c r="L39" s="16" t="str">
        <f>IF(E39="","",IFERROR(INDEX(tblProductos[COSTO TOTAL],MATCH(E39,tblProductos[ITEM],0)),""))</f>
        <v/>
      </c>
      <c r="M39" s="16" t="str">
        <f t="shared" si="3"/>
        <v/>
      </c>
      <c r="N39" s="16" t="str">
        <f t="shared" si="4"/>
        <v/>
      </c>
      <c r="O39" s="14" t="s">
        <v>34</v>
      </c>
      <c r="P39" s="14" t="s">
        <v>35</v>
      </c>
      <c r="Q39" s="14" t="s">
        <v>36</v>
      </c>
      <c r="R39" s="14"/>
      <c r="S39" t="str">
        <f>IF(E39="","",IFERROR(INDEX(tblProductos[STOCK_ACTUAL],MATCH(E39,tblProductos[ITEM],0)),""))</f>
        <v/>
      </c>
    </row>
    <row r="40" spans="1:19" x14ac:dyDescent="0.3">
      <c r="A40" s="40"/>
      <c r="B40" s="14" t="str">
        <f t="shared" si="0"/>
        <v/>
      </c>
      <c r="C40" s="14" t="str">
        <f>IF(D40="","",IFERROR(INDEX(tblClientes[ID],MATCH(D40,tblClientes[NOMBRE],0)),""))</f>
        <v/>
      </c>
      <c r="D40" s="14"/>
      <c r="E40" s="14"/>
      <c r="F40" s="14" t="str">
        <f>IF(E40="","",IFERROR(INDEX(tblProductos[CATEGORIA],MATCH(E40,tblProductos[ITEM],0)),""))</f>
        <v/>
      </c>
      <c r="G40" s="15"/>
      <c r="H40" s="16"/>
      <c r="I40" s="16" t="str">
        <f>IF(E40="","",IFERROR(INDEX(tblProductos[PRECIO_VENTA],MATCH(E40,tblProductos[ITEM],0)),""))</f>
        <v/>
      </c>
      <c r="J40" s="16" t="str">
        <f t="shared" si="1"/>
        <v/>
      </c>
      <c r="K40" s="16" t="str">
        <f t="shared" si="2"/>
        <v/>
      </c>
      <c r="L40" s="16" t="str">
        <f>IF(E40="","",IFERROR(INDEX(tblProductos[COSTO TOTAL],MATCH(E40,tblProductos[ITEM],0)),""))</f>
        <v/>
      </c>
      <c r="M40" s="16" t="str">
        <f t="shared" si="3"/>
        <v/>
      </c>
      <c r="N40" s="16" t="str">
        <f t="shared" si="4"/>
        <v/>
      </c>
      <c r="O40" s="14" t="s">
        <v>34</v>
      </c>
      <c r="P40" s="14" t="s">
        <v>35</v>
      </c>
      <c r="Q40" s="14" t="s">
        <v>36</v>
      </c>
      <c r="R40" s="14"/>
      <c r="S40" t="str">
        <f>IF(E40="","",IFERROR(INDEX(tblProductos[STOCK_ACTUAL],MATCH(E40,tblProductos[ITEM],0)),""))</f>
        <v/>
      </c>
    </row>
    <row r="41" spans="1:19" x14ac:dyDescent="0.3">
      <c r="A41" s="40"/>
      <c r="B41" s="14" t="str">
        <f t="shared" si="0"/>
        <v/>
      </c>
      <c r="C41" s="14" t="str">
        <f>IF(D41="","",IFERROR(INDEX(tblClientes[ID],MATCH(D41,tblClientes[NOMBRE],0)),""))</f>
        <v/>
      </c>
      <c r="D41" s="14"/>
      <c r="E41" s="14"/>
      <c r="F41" s="14" t="str">
        <f>IF(E41="","",IFERROR(INDEX(tblProductos[CATEGORIA],MATCH(E41,tblProductos[ITEM],0)),""))</f>
        <v/>
      </c>
      <c r="G41" s="15"/>
      <c r="H41" s="16"/>
      <c r="I41" s="16" t="str">
        <f>IF(E41="","",IFERROR(INDEX(tblProductos[PRECIO_VENTA],MATCH(E41,tblProductos[ITEM],0)),""))</f>
        <v/>
      </c>
      <c r="J41" s="16" t="str">
        <f t="shared" si="1"/>
        <v/>
      </c>
      <c r="K41" s="16" t="str">
        <f t="shared" si="2"/>
        <v/>
      </c>
      <c r="L41" s="16" t="str">
        <f>IF(E41="","",IFERROR(INDEX(tblProductos[COSTO TOTAL],MATCH(E41,tblProductos[ITEM],0)),""))</f>
        <v/>
      </c>
      <c r="M41" s="16" t="str">
        <f t="shared" si="3"/>
        <v/>
      </c>
      <c r="N41" s="16" t="str">
        <f t="shared" si="4"/>
        <v/>
      </c>
      <c r="O41" s="14" t="s">
        <v>34</v>
      </c>
      <c r="P41" s="14" t="s">
        <v>35</v>
      </c>
      <c r="Q41" s="14" t="s">
        <v>36</v>
      </c>
      <c r="R41" s="14"/>
      <c r="S41" t="str">
        <f>IF(E41="","",IFERROR(INDEX(tblProductos[STOCK_ACTUAL],MATCH(E41,tblProductos[ITEM],0)),""))</f>
        <v/>
      </c>
    </row>
    <row r="42" spans="1:19" x14ac:dyDescent="0.3">
      <c r="A42" s="40"/>
      <c r="B42" s="14" t="str">
        <f t="shared" si="0"/>
        <v/>
      </c>
      <c r="C42" s="14" t="str">
        <f>IF(D42="","",IFERROR(INDEX(tblClientes[ID],MATCH(D42,tblClientes[NOMBRE],0)),""))</f>
        <v/>
      </c>
      <c r="D42" s="14"/>
      <c r="E42" s="14"/>
      <c r="F42" s="14" t="str">
        <f>IF(E42="","",IFERROR(INDEX(tblProductos[CATEGORIA],MATCH(E42,tblProductos[ITEM],0)),""))</f>
        <v/>
      </c>
      <c r="G42" s="15"/>
      <c r="H42" s="16"/>
      <c r="I42" s="16" t="str">
        <f>IF(E42="","",IFERROR(INDEX(tblProductos[PRECIO_VENTA],MATCH(E42,tblProductos[ITEM],0)),""))</f>
        <v/>
      </c>
      <c r="J42" s="16" t="str">
        <f t="shared" si="1"/>
        <v/>
      </c>
      <c r="K42" s="16" t="str">
        <f t="shared" si="2"/>
        <v/>
      </c>
      <c r="L42" s="16" t="str">
        <f>IF(E42="","",IFERROR(INDEX(tblProductos[COSTO TOTAL],MATCH(E42,tblProductos[ITEM],0)),""))</f>
        <v/>
      </c>
      <c r="M42" s="16" t="str">
        <f t="shared" si="3"/>
        <v/>
      </c>
      <c r="N42" s="16" t="str">
        <f t="shared" si="4"/>
        <v/>
      </c>
      <c r="O42" s="14" t="s">
        <v>34</v>
      </c>
      <c r="P42" s="14" t="s">
        <v>35</v>
      </c>
      <c r="Q42" s="14" t="s">
        <v>36</v>
      </c>
      <c r="R42" s="14"/>
      <c r="S42" t="str">
        <f>IF(E42="","",IFERROR(INDEX(tblProductos[STOCK_ACTUAL],MATCH(E42,tblProductos[ITEM],0)),""))</f>
        <v/>
      </c>
    </row>
    <row r="43" spans="1:19" x14ac:dyDescent="0.3">
      <c r="A43" s="40"/>
      <c r="B43" s="14" t="str">
        <f t="shared" si="0"/>
        <v/>
      </c>
      <c r="C43" s="14" t="str">
        <f>IF(D43="","",IFERROR(INDEX(tblClientes[ID],MATCH(D43,tblClientes[NOMBRE],0)),""))</f>
        <v/>
      </c>
      <c r="D43" s="14"/>
      <c r="E43" s="14"/>
      <c r="F43" s="14" t="str">
        <f>IF(E43="","",IFERROR(INDEX(tblProductos[CATEGORIA],MATCH(E43,tblProductos[ITEM],0)),""))</f>
        <v/>
      </c>
      <c r="G43" s="15"/>
      <c r="H43" s="16"/>
      <c r="I43" s="16" t="str">
        <f>IF(E43="","",IFERROR(INDEX(tblProductos[PRECIO_VENTA],MATCH(E43,tblProductos[ITEM],0)),""))</f>
        <v/>
      </c>
      <c r="J43" s="16" t="str">
        <f t="shared" si="1"/>
        <v/>
      </c>
      <c r="K43" s="16" t="str">
        <f t="shared" si="2"/>
        <v/>
      </c>
      <c r="L43" s="16" t="str">
        <f>IF(E43="","",IFERROR(INDEX(tblProductos[COSTO TOTAL],MATCH(E43,tblProductos[ITEM],0)),""))</f>
        <v/>
      </c>
      <c r="M43" s="16" t="str">
        <f t="shared" si="3"/>
        <v/>
      </c>
      <c r="N43" s="16" t="str">
        <f t="shared" si="4"/>
        <v/>
      </c>
      <c r="O43" s="14" t="s">
        <v>34</v>
      </c>
      <c r="P43" s="14" t="s">
        <v>35</v>
      </c>
      <c r="Q43" s="14" t="s">
        <v>36</v>
      </c>
      <c r="R43" s="14"/>
      <c r="S43" t="str">
        <f>IF(E43="","",IFERROR(INDEX(tblProductos[STOCK_ACTUAL],MATCH(E43,tblProductos[ITEM],0)),""))</f>
        <v/>
      </c>
    </row>
    <row r="44" spans="1:19" x14ac:dyDescent="0.3">
      <c r="A44" s="40"/>
      <c r="B44" s="14" t="str">
        <f t="shared" si="0"/>
        <v/>
      </c>
      <c r="C44" s="14" t="str">
        <f>IF(D44="","",IFERROR(INDEX(tblClientes[ID],MATCH(D44,tblClientes[NOMBRE],0)),""))</f>
        <v/>
      </c>
      <c r="D44" s="14"/>
      <c r="E44" s="14"/>
      <c r="F44" s="14" t="str">
        <f>IF(E44="","",IFERROR(INDEX(tblProductos[CATEGORIA],MATCH(E44,tblProductos[ITEM],0)),""))</f>
        <v/>
      </c>
      <c r="G44" s="15"/>
      <c r="H44" s="16"/>
      <c r="I44" s="16" t="str">
        <f>IF(E44="","",IFERROR(INDEX(tblProductos[PRECIO_VENTA],MATCH(E44,tblProductos[ITEM],0)),""))</f>
        <v/>
      </c>
      <c r="J44" s="16" t="str">
        <f t="shared" si="1"/>
        <v/>
      </c>
      <c r="K44" s="16" t="str">
        <f t="shared" si="2"/>
        <v/>
      </c>
      <c r="L44" s="16" t="str">
        <f>IF(E44="","",IFERROR(INDEX(tblProductos[COSTO TOTAL],MATCH(E44,tblProductos[ITEM],0)),""))</f>
        <v/>
      </c>
      <c r="M44" s="16" t="str">
        <f t="shared" si="3"/>
        <v/>
      </c>
      <c r="N44" s="16" t="str">
        <f t="shared" si="4"/>
        <v/>
      </c>
      <c r="O44" s="14" t="s">
        <v>34</v>
      </c>
      <c r="P44" s="14" t="s">
        <v>35</v>
      </c>
      <c r="Q44" s="14" t="s">
        <v>36</v>
      </c>
      <c r="R44" s="14"/>
      <c r="S44" t="str">
        <f>IF(E44="","",IFERROR(INDEX(tblProductos[STOCK_ACTUAL],MATCH(E44,tblProductos[ITEM],0)),""))</f>
        <v/>
      </c>
    </row>
    <row r="45" spans="1:19" x14ac:dyDescent="0.3">
      <c r="A45" s="40"/>
      <c r="B45" s="14" t="str">
        <f t="shared" si="0"/>
        <v/>
      </c>
      <c r="C45" s="14" t="str">
        <f>IF(D45="","",IFERROR(INDEX(tblClientes[ID],MATCH(D45,tblClientes[NOMBRE],0)),""))</f>
        <v/>
      </c>
      <c r="D45" s="14"/>
      <c r="E45" s="14"/>
      <c r="F45" s="14" t="str">
        <f>IF(E45="","",IFERROR(INDEX(tblProductos[CATEGORIA],MATCH(E45,tblProductos[ITEM],0)),""))</f>
        <v/>
      </c>
      <c r="G45" s="15"/>
      <c r="H45" s="16"/>
      <c r="I45" s="16" t="str">
        <f>IF(E45="","",IFERROR(INDEX(tblProductos[PRECIO_VENTA],MATCH(E45,tblProductos[ITEM],0)),""))</f>
        <v/>
      </c>
      <c r="J45" s="16" t="str">
        <f t="shared" si="1"/>
        <v/>
      </c>
      <c r="K45" s="16" t="str">
        <f t="shared" si="2"/>
        <v/>
      </c>
      <c r="L45" s="16" t="str">
        <f>IF(E45="","",IFERROR(INDEX(tblProductos[COSTO TOTAL],MATCH(E45,tblProductos[ITEM],0)),""))</f>
        <v/>
      </c>
      <c r="M45" s="16" t="str">
        <f t="shared" si="3"/>
        <v/>
      </c>
      <c r="N45" s="16" t="str">
        <f t="shared" si="4"/>
        <v/>
      </c>
      <c r="O45" s="14" t="s">
        <v>34</v>
      </c>
      <c r="P45" s="14" t="s">
        <v>35</v>
      </c>
      <c r="Q45" s="14" t="s">
        <v>36</v>
      </c>
      <c r="R45" s="14"/>
      <c r="S45" t="str">
        <f>IF(E45="","",IFERROR(INDEX(tblProductos[STOCK_ACTUAL],MATCH(E45,tblProductos[ITEM],0)),""))</f>
        <v/>
      </c>
    </row>
    <row r="46" spans="1:19" x14ac:dyDescent="0.3">
      <c r="A46" s="40"/>
      <c r="B46" s="14" t="str">
        <f t="shared" si="0"/>
        <v/>
      </c>
      <c r="C46" s="14" t="str">
        <f>IF(D46="","",IFERROR(INDEX(tblClientes[ID],MATCH(D46,tblClientes[NOMBRE],0)),""))</f>
        <v/>
      </c>
      <c r="D46" s="14"/>
      <c r="E46" s="14"/>
      <c r="F46" s="14" t="str">
        <f>IF(E46="","",IFERROR(INDEX(tblProductos[CATEGORIA],MATCH(E46,tblProductos[ITEM],0)),""))</f>
        <v/>
      </c>
      <c r="G46" s="15"/>
      <c r="H46" s="16"/>
      <c r="I46" s="16" t="str">
        <f>IF(E46="","",IFERROR(INDEX(tblProductos[PRECIO_VENTA],MATCH(E46,tblProductos[ITEM],0)),""))</f>
        <v/>
      </c>
      <c r="J46" s="16" t="str">
        <f t="shared" si="1"/>
        <v/>
      </c>
      <c r="K46" s="16" t="str">
        <f t="shared" si="2"/>
        <v/>
      </c>
      <c r="L46" s="16" t="str">
        <f>IF(E46="","",IFERROR(INDEX(tblProductos[COSTO TOTAL],MATCH(E46,tblProductos[ITEM],0)),""))</f>
        <v/>
      </c>
      <c r="M46" s="16" t="str">
        <f t="shared" si="3"/>
        <v/>
      </c>
      <c r="N46" s="16" t="str">
        <f t="shared" si="4"/>
        <v/>
      </c>
      <c r="O46" s="14" t="s">
        <v>34</v>
      </c>
      <c r="P46" s="14" t="s">
        <v>35</v>
      </c>
      <c r="Q46" s="14" t="s">
        <v>36</v>
      </c>
      <c r="R46" s="14"/>
      <c r="S46" t="str">
        <f>IF(E46="","",IFERROR(INDEX(tblProductos[STOCK_ACTUAL],MATCH(E46,tblProductos[ITEM],0)),""))</f>
        <v/>
      </c>
    </row>
    <row r="47" spans="1:19" x14ac:dyDescent="0.3">
      <c r="A47" s="40"/>
      <c r="B47" s="14" t="str">
        <f t="shared" si="0"/>
        <v/>
      </c>
      <c r="C47" s="14" t="str">
        <f>IF(D47="","",IFERROR(INDEX(tblClientes[ID],MATCH(D47,tblClientes[NOMBRE],0)),""))</f>
        <v/>
      </c>
      <c r="D47" s="14"/>
      <c r="E47" s="14"/>
      <c r="F47" s="14" t="str">
        <f>IF(E47="","",IFERROR(INDEX(tblProductos[CATEGORIA],MATCH(E47,tblProductos[ITEM],0)),""))</f>
        <v/>
      </c>
      <c r="G47" s="15"/>
      <c r="H47" s="16"/>
      <c r="I47" s="16" t="str">
        <f>IF(E47="","",IFERROR(INDEX(tblProductos[PRECIO_VENTA],MATCH(E47,tblProductos[ITEM],0)),""))</f>
        <v/>
      </c>
      <c r="J47" s="16" t="str">
        <f t="shared" si="1"/>
        <v/>
      </c>
      <c r="K47" s="16" t="str">
        <f t="shared" si="2"/>
        <v/>
      </c>
      <c r="L47" s="16" t="str">
        <f>IF(E47="","",IFERROR(INDEX(tblProductos[COSTO TOTAL],MATCH(E47,tblProductos[ITEM],0)),""))</f>
        <v/>
      </c>
      <c r="M47" s="16" t="str">
        <f t="shared" si="3"/>
        <v/>
      </c>
      <c r="N47" s="16" t="str">
        <f t="shared" si="4"/>
        <v/>
      </c>
      <c r="O47" s="14" t="s">
        <v>34</v>
      </c>
      <c r="P47" s="14" t="s">
        <v>35</v>
      </c>
      <c r="Q47" s="14" t="s">
        <v>36</v>
      </c>
      <c r="R47" s="14"/>
      <c r="S47" t="str">
        <f>IF(E47="","",IFERROR(INDEX(tblProductos[STOCK_ACTUAL],MATCH(E47,tblProductos[ITEM],0)),""))</f>
        <v/>
      </c>
    </row>
    <row r="48" spans="1:19" x14ac:dyDescent="0.3">
      <c r="A48" s="40"/>
      <c r="B48" s="14" t="str">
        <f t="shared" si="0"/>
        <v/>
      </c>
      <c r="C48" s="14" t="str">
        <f>IF(D48="","",IFERROR(INDEX(tblClientes[ID],MATCH(D48,tblClientes[NOMBRE],0)),""))</f>
        <v/>
      </c>
      <c r="D48" s="14"/>
      <c r="E48" s="14"/>
      <c r="F48" s="14" t="str">
        <f>IF(E48="","",IFERROR(INDEX(tblProductos[CATEGORIA],MATCH(E48,tblProductos[ITEM],0)),""))</f>
        <v/>
      </c>
      <c r="G48" s="15"/>
      <c r="H48" s="16"/>
      <c r="I48" s="16" t="str">
        <f>IF(E48="","",IFERROR(INDEX(tblProductos[PRECIO_VENTA],MATCH(E48,tblProductos[ITEM],0)),""))</f>
        <v/>
      </c>
      <c r="J48" s="16" t="str">
        <f t="shared" si="1"/>
        <v/>
      </c>
      <c r="K48" s="16" t="str">
        <f t="shared" si="2"/>
        <v/>
      </c>
      <c r="L48" s="16" t="str">
        <f>IF(E48="","",IFERROR(INDEX(tblProductos[COSTO TOTAL],MATCH(E48,tblProductos[ITEM],0)),""))</f>
        <v/>
      </c>
      <c r="M48" s="16" t="str">
        <f t="shared" si="3"/>
        <v/>
      </c>
      <c r="N48" s="16" t="str">
        <f t="shared" si="4"/>
        <v/>
      </c>
      <c r="O48" s="14" t="s">
        <v>34</v>
      </c>
      <c r="P48" s="14" t="s">
        <v>35</v>
      </c>
      <c r="Q48" s="14" t="s">
        <v>36</v>
      </c>
      <c r="R48" s="14"/>
      <c r="S48" t="str">
        <f>IF(E48="","",IFERROR(INDEX(tblProductos[STOCK_ACTUAL],MATCH(E48,tblProductos[ITEM],0)),""))</f>
        <v/>
      </c>
    </row>
    <row r="49" spans="1:19" x14ac:dyDescent="0.3">
      <c r="A49" s="40"/>
      <c r="B49" s="14" t="str">
        <f t="shared" si="0"/>
        <v/>
      </c>
      <c r="C49" s="14" t="str">
        <f>IF(D49="","",IFERROR(INDEX(tblClientes[ID],MATCH(D49,tblClientes[NOMBRE],0)),""))</f>
        <v/>
      </c>
      <c r="D49" s="14"/>
      <c r="E49" s="14"/>
      <c r="F49" s="14" t="str">
        <f>IF(E49="","",IFERROR(INDEX(tblProductos[CATEGORIA],MATCH(E49,tblProductos[ITEM],0)),""))</f>
        <v/>
      </c>
      <c r="G49" s="15"/>
      <c r="H49" s="16"/>
      <c r="I49" s="16" t="str">
        <f>IF(E49="","",IFERROR(INDEX(tblProductos[PRECIO_VENTA],MATCH(E49,tblProductos[ITEM],0)),""))</f>
        <v/>
      </c>
      <c r="J49" s="16" t="str">
        <f t="shared" si="1"/>
        <v/>
      </c>
      <c r="K49" s="16" t="str">
        <f t="shared" si="2"/>
        <v/>
      </c>
      <c r="L49" s="16" t="str">
        <f>IF(E49="","",IFERROR(INDEX(tblProductos[COSTO TOTAL],MATCH(E49,tblProductos[ITEM],0)),""))</f>
        <v/>
      </c>
      <c r="M49" s="16" t="str">
        <f t="shared" si="3"/>
        <v/>
      </c>
      <c r="N49" s="16" t="str">
        <f t="shared" si="4"/>
        <v/>
      </c>
      <c r="O49" s="14" t="s">
        <v>34</v>
      </c>
      <c r="P49" s="14" t="s">
        <v>35</v>
      </c>
      <c r="Q49" s="14" t="s">
        <v>36</v>
      </c>
      <c r="R49" s="14"/>
      <c r="S49" t="str">
        <f>IF(E49="","",IFERROR(INDEX(tblProductos[STOCK_ACTUAL],MATCH(E49,tblProductos[ITEM],0)),""))</f>
        <v/>
      </c>
    </row>
    <row r="50" spans="1:19" x14ac:dyDescent="0.3">
      <c r="A50" s="40"/>
      <c r="B50" s="14" t="str">
        <f t="shared" si="0"/>
        <v/>
      </c>
      <c r="C50" s="14" t="str">
        <f>IF(D50="","",IFERROR(INDEX(tblClientes[ID],MATCH(D50,tblClientes[NOMBRE],0)),""))</f>
        <v/>
      </c>
      <c r="D50" s="14"/>
      <c r="E50" s="14"/>
      <c r="F50" s="14" t="str">
        <f>IF(E50="","",IFERROR(INDEX(tblProductos[CATEGORIA],MATCH(E50,tblProductos[ITEM],0)),""))</f>
        <v/>
      </c>
      <c r="G50" s="15"/>
      <c r="H50" s="16"/>
      <c r="I50" s="16" t="str">
        <f>IF(E50="","",IFERROR(INDEX(tblProductos[PRECIO_VENTA],MATCH(E50,tblProductos[ITEM],0)),""))</f>
        <v/>
      </c>
      <c r="J50" s="16" t="str">
        <f t="shared" si="1"/>
        <v/>
      </c>
      <c r="K50" s="16" t="str">
        <f t="shared" si="2"/>
        <v/>
      </c>
      <c r="L50" s="16" t="str">
        <f>IF(E50="","",IFERROR(INDEX(tblProductos[COSTO TOTAL],MATCH(E50,tblProductos[ITEM],0)),""))</f>
        <v/>
      </c>
      <c r="M50" s="16" t="str">
        <f t="shared" si="3"/>
        <v/>
      </c>
      <c r="N50" s="16" t="str">
        <f t="shared" si="4"/>
        <v/>
      </c>
      <c r="O50" s="14" t="s">
        <v>34</v>
      </c>
      <c r="P50" s="14" t="s">
        <v>35</v>
      </c>
      <c r="Q50" s="14" t="s">
        <v>36</v>
      </c>
      <c r="R50" s="14"/>
      <c r="S50" t="str">
        <f>IF(E50="","",IFERROR(INDEX(tblProductos[STOCK_ACTUAL],MATCH(E50,tblProductos[ITEM],0)),""))</f>
        <v/>
      </c>
    </row>
    <row r="51" spans="1:19" x14ac:dyDescent="0.3">
      <c r="A51" s="40"/>
      <c r="B51" s="14" t="str">
        <f t="shared" si="0"/>
        <v/>
      </c>
      <c r="C51" s="14" t="str">
        <f>IF(D51="","",IFERROR(INDEX(tblClientes[ID],MATCH(D51,tblClientes[NOMBRE],0)),""))</f>
        <v/>
      </c>
      <c r="D51" s="14"/>
      <c r="E51" s="14"/>
      <c r="F51" s="14" t="str">
        <f>IF(E51="","",IFERROR(INDEX(tblProductos[CATEGORIA],MATCH(E51,tblProductos[ITEM],0)),""))</f>
        <v/>
      </c>
      <c r="G51" s="15"/>
      <c r="H51" s="16"/>
      <c r="I51" s="16" t="str">
        <f>IF(E51="","",IFERROR(INDEX(tblProductos[PRECIO_VENTA],MATCH(E51,tblProductos[ITEM],0)),""))</f>
        <v/>
      </c>
      <c r="J51" s="16" t="str">
        <f t="shared" si="1"/>
        <v/>
      </c>
      <c r="K51" s="16" t="str">
        <f t="shared" si="2"/>
        <v/>
      </c>
      <c r="L51" s="16" t="str">
        <f>IF(E51="","",IFERROR(INDEX(tblProductos[COSTO TOTAL],MATCH(E51,tblProductos[ITEM],0)),""))</f>
        <v/>
      </c>
      <c r="M51" s="16" t="str">
        <f t="shared" si="3"/>
        <v/>
      </c>
      <c r="N51" s="16" t="str">
        <f t="shared" si="4"/>
        <v/>
      </c>
      <c r="O51" s="14" t="s">
        <v>34</v>
      </c>
      <c r="P51" s="14" t="s">
        <v>35</v>
      </c>
      <c r="Q51" s="14" t="s">
        <v>36</v>
      </c>
      <c r="R51" s="14"/>
      <c r="S51" t="str">
        <f>IF(E51="","",IFERROR(INDEX(tblProductos[STOCK_ACTUAL],MATCH(E51,tblProductos[ITEM],0)),""))</f>
        <v/>
      </c>
    </row>
    <row r="52" spans="1:19" x14ac:dyDescent="0.3">
      <c r="A52" s="40"/>
      <c r="B52" s="14" t="str">
        <f t="shared" si="0"/>
        <v/>
      </c>
      <c r="C52" s="14" t="str">
        <f>IF(D52="","",IFERROR(INDEX(tblClientes[ID],MATCH(D52,tblClientes[NOMBRE],0)),""))</f>
        <v/>
      </c>
      <c r="D52" s="14"/>
      <c r="E52" s="14"/>
      <c r="F52" s="14" t="str">
        <f>IF(E52="","",IFERROR(INDEX(tblProductos[CATEGORIA],MATCH(E52,tblProductos[ITEM],0)),""))</f>
        <v/>
      </c>
      <c r="G52" s="15"/>
      <c r="H52" s="16"/>
      <c r="I52" s="16" t="str">
        <f>IF(E52="","",IFERROR(INDEX(tblProductos[PRECIO_VENTA],MATCH(E52,tblProductos[ITEM],0)),""))</f>
        <v/>
      </c>
      <c r="J52" s="16" t="str">
        <f t="shared" si="1"/>
        <v/>
      </c>
      <c r="K52" s="16" t="str">
        <f t="shared" si="2"/>
        <v/>
      </c>
      <c r="L52" s="16" t="str">
        <f>IF(E52="","",IFERROR(INDEX(tblProductos[COSTO TOTAL],MATCH(E52,tblProductos[ITEM],0)),""))</f>
        <v/>
      </c>
      <c r="M52" s="16" t="str">
        <f t="shared" si="3"/>
        <v/>
      </c>
      <c r="N52" s="16" t="str">
        <f t="shared" si="4"/>
        <v/>
      </c>
      <c r="O52" s="14" t="s">
        <v>34</v>
      </c>
      <c r="P52" s="14" t="s">
        <v>35</v>
      </c>
      <c r="Q52" s="14" t="s">
        <v>36</v>
      </c>
      <c r="R52" s="14"/>
      <c r="S52" t="str">
        <f>IF(E52="","",IFERROR(INDEX(tblProductos[STOCK_ACTUAL],MATCH(E52,tblProductos[ITEM],0)),""))</f>
        <v/>
      </c>
    </row>
    <row r="53" spans="1:19" x14ac:dyDescent="0.3">
      <c r="A53" s="40"/>
      <c r="B53" s="14" t="str">
        <f t="shared" si="0"/>
        <v/>
      </c>
      <c r="C53" s="14" t="str">
        <f>IF(D53="","",IFERROR(INDEX(tblClientes[ID],MATCH(D53,tblClientes[NOMBRE],0)),""))</f>
        <v/>
      </c>
      <c r="D53" s="14"/>
      <c r="E53" s="14"/>
      <c r="F53" s="14" t="str">
        <f>IF(E53="","",IFERROR(INDEX(tblProductos[CATEGORIA],MATCH(E53,tblProductos[ITEM],0)),""))</f>
        <v/>
      </c>
      <c r="G53" s="15"/>
      <c r="H53" s="16"/>
      <c r="I53" s="16" t="str">
        <f>IF(E53="","",IFERROR(INDEX(tblProductos[PRECIO_VENTA],MATCH(E53,tblProductos[ITEM],0)),""))</f>
        <v/>
      </c>
      <c r="J53" s="16" t="str">
        <f t="shared" si="1"/>
        <v/>
      </c>
      <c r="K53" s="16" t="str">
        <f t="shared" si="2"/>
        <v/>
      </c>
      <c r="L53" s="16" t="str">
        <f>IF(E53="","",IFERROR(INDEX(tblProductos[COSTO TOTAL],MATCH(E53,tblProductos[ITEM],0)),""))</f>
        <v/>
      </c>
      <c r="M53" s="16" t="str">
        <f t="shared" si="3"/>
        <v/>
      </c>
      <c r="N53" s="16" t="str">
        <f t="shared" si="4"/>
        <v/>
      </c>
      <c r="O53" s="14" t="s">
        <v>34</v>
      </c>
      <c r="P53" s="14" t="s">
        <v>35</v>
      </c>
      <c r="Q53" s="14" t="s">
        <v>36</v>
      </c>
      <c r="R53" s="14"/>
      <c r="S53" t="str">
        <f>IF(E53="","",IFERROR(INDEX(tblProductos[STOCK_ACTUAL],MATCH(E53,tblProductos[ITEM],0)),""))</f>
        <v/>
      </c>
    </row>
    <row r="54" spans="1:19" x14ac:dyDescent="0.3">
      <c r="A54" s="40"/>
      <c r="B54" s="14" t="str">
        <f t="shared" si="0"/>
        <v/>
      </c>
      <c r="C54" s="14" t="str">
        <f>IF(D54="","",IFERROR(INDEX(tblClientes[ID],MATCH(D54,tblClientes[NOMBRE],0)),""))</f>
        <v/>
      </c>
      <c r="D54" s="14"/>
      <c r="E54" s="14"/>
      <c r="F54" s="14" t="str">
        <f>IF(E54="","",IFERROR(INDEX(tblProductos[CATEGORIA],MATCH(E54,tblProductos[ITEM],0)),""))</f>
        <v/>
      </c>
      <c r="G54" s="15"/>
      <c r="H54" s="16"/>
      <c r="I54" s="16" t="str">
        <f>IF(E54="","",IFERROR(INDEX(tblProductos[PRECIO_VENTA],MATCH(E54,tblProductos[ITEM],0)),""))</f>
        <v/>
      </c>
      <c r="J54" s="16" t="str">
        <f t="shared" si="1"/>
        <v/>
      </c>
      <c r="K54" s="16" t="str">
        <f t="shared" si="2"/>
        <v/>
      </c>
      <c r="L54" s="16" t="str">
        <f>IF(E54="","",IFERROR(INDEX(tblProductos[COSTO TOTAL],MATCH(E54,tblProductos[ITEM],0)),""))</f>
        <v/>
      </c>
      <c r="M54" s="16" t="str">
        <f t="shared" si="3"/>
        <v/>
      </c>
      <c r="N54" s="16" t="str">
        <f t="shared" si="4"/>
        <v/>
      </c>
      <c r="O54" s="14" t="s">
        <v>34</v>
      </c>
      <c r="P54" s="14" t="s">
        <v>35</v>
      </c>
      <c r="Q54" s="14" t="s">
        <v>36</v>
      </c>
      <c r="R54" s="14"/>
      <c r="S54" t="str">
        <f>IF(E54="","",IFERROR(INDEX(tblProductos[STOCK_ACTUAL],MATCH(E54,tblProductos[ITEM],0)),""))</f>
        <v/>
      </c>
    </row>
    <row r="55" spans="1:19" x14ac:dyDescent="0.3">
      <c r="A55" s="40"/>
      <c r="B55" s="14" t="str">
        <f t="shared" si="0"/>
        <v/>
      </c>
      <c r="C55" s="14" t="str">
        <f>IF(D55="","",IFERROR(INDEX(tblClientes[ID],MATCH(D55,tblClientes[NOMBRE],0)),""))</f>
        <v/>
      </c>
      <c r="D55" s="14"/>
      <c r="E55" s="14"/>
      <c r="F55" s="14" t="str">
        <f>IF(E55="","",IFERROR(INDEX(tblProductos[CATEGORIA],MATCH(E55,tblProductos[ITEM],0)),""))</f>
        <v/>
      </c>
      <c r="G55" s="15"/>
      <c r="H55" s="16"/>
      <c r="I55" s="16" t="str">
        <f>IF(E55="","",IFERROR(INDEX(tblProductos[PRECIO_VENTA],MATCH(E55,tblProductos[ITEM],0)),""))</f>
        <v/>
      </c>
      <c r="J55" s="16" t="str">
        <f t="shared" si="1"/>
        <v/>
      </c>
      <c r="K55" s="16" t="str">
        <f t="shared" si="2"/>
        <v/>
      </c>
      <c r="L55" s="16" t="str">
        <f>IF(E55="","",IFERROR(INDEX(tblProductos[COSTO TOTAL],MATCH(E55,tblProductos[ITEM],0)),""))</f>
        <v/>
      </c>
      <c r="M55" s="16" t="str">
        <f t="shared" si="3"/>
        <v/>
      </c>
      <c r="N55" s="16" t="str">
        <f t="shared" si="4"/>
        <v/>
      </c>
      <c r="O55" s="14" t="s">
        <v>34</v>
      </c>
      <c r="P55" s="14" t="s">
        <v>35</v>
      </c>
      <c r="Q55" s="14" t="s">
        <v>36</v>
      </c>
      <c r="R55" s="14"/>
      <c r="S55" t="str">
        <f>IF(E55="","",IFERROR(INDEX(tblProductos[STOCK_ACTUAL],MATCH(E55,tblProductos[ITEM],0)),""))</f>
        <v/>
      </c>
    </row>
    <row r="56" spans="1:19" x14ac:dyDescent="0.3">
      <c r="A56" s="40"/>
      <c r="B56" s="14" t="str">
        <f t="shared" si="0"/>
        <v/>
      </c>
      <c r="C56" s="14" t="str">
        <f>IF(D56="","",IFERROR(INDEX(tblClientes[ID],MATCH(D56,tblClientes[NOMBRE],0)),""))</f>
        <v/>
      </c>
      <c r="D56" s="14"/>
      <c r="E56" s="14"/>
      <c r="F56" s="14" t="str">
        <f>IF(E56="","",IFERROR(INDEX(tblProductos[CATEGORIA],MATCH(E56,tblProductos[ITEM],0)),""))</f>
        <v/>
      </c>
      <c r="G56" s="15"/>
      <c r="H56" s="16"/>
      <c r="I56" s="16" t="str">
        <f>IF(E56="","",IFERROR(INDEX(tblProductos[PRECIO_VENTA],MATCH(E56,tblProductos[ITEM],0)),""))</f>
        <v/>
      </c>
      <c r="J56" s="16" t="str">
        <f t="shared" si="1"/>
        <v/>
      </c>
      <c r="K56" s="16" t="str">
        <f t="shared" si="2"/>
        <v/>
      </c>
      <c r="L56" s="16" t="str">
        <f>IF(E56="","",IFERROR(INDEX(tblProductos[COSTO TOTAL],MATCH(E56,tblProductos[ITEM],0)),""))</f>
        <v/>
      </c>
      <c r="M56" s="16" t="str">
        <f t="shared" si="3"/>
        <v/>
      </c>
      <c r="N56" s="16" t="str">
        <f t="shared" si="4"/>
        <v/>
      </c>
      <c r="O56" s="14" t="s">
        <v>34</v>
      </c>
      <c r="P56" s="14" t="s">
        <v>35</v>
      </c>
      <c r="Q56" s="14" t="s">
        <v>36</v>
      </c>
      <c r="R56" s="14"/>
      <c r="S56" t="str">
        <f>IF(E56="","",IFERROR(INDEX(tblProductos[STOCK_ACTUAL],MATCH(E56,tblProductos[ITEM],0)),""))</f>
        <v/>
      </c>
    </row>
    <row r="57" spans="1:19" x14ac:dyDescent="0.3">
      <c r="A57" s="40"/>
      <c r="B57" s="14" t="str">
        <f t="shared" si="0"/>
        <v/>
      </c>
      <c r="C57" s="14" t="str">
        <f>IF(D57="","",IFERROR(INDEX(tblClientes[ID],MATCH(D57,tblClientes[NOMBRE],0)),""))</f>
        <v/>
      </c>
      <c r="D57" s="14"/>
      <c r="E57" s="14"/>
      <c r="F57" s="14" t="str">
        <f>IF(E57="","",IFERROR(INDEX(tblProductos[CATEGORIA],MATCH(E57,tblProductos[ITEM],0)),""))</f>
        <v/>
      </c>
      <c r="G57" s="15"/>
      <c r="H57" s="16"/>
      <c r="I57" s="16" t="str">
        <f>IF(E57="","",IFERROR(INDEX(tblProductos[PRECIO_VENTA],MATCH(E57,tblProductos[ITEM],0)),""))</f>
        <v/>
      </c>
      <c r="J57" s="16" t="str">
        <f t="shared" si="1"/>
        <v/>
      </c>
      <c r="K57" s="16" t="str">
        <f t="shared" si="2"/>
        <v/>
      </c>
      <c r="L57" s="16" t="str">
        <f>IF(E57="","",IFERROR(INDEX(tblProductos[COSTO TOTAL],MATCH(E57,tblProductos[ITEM],0)),""))</f>
        <v/>
      </c>
      <c r="M57" s="16" t="str">
        <f t="shared" si="3"/>
        <v/>
      </c>
      <c r="N57" s="16" t="str">
        <f t="shared" si="4"/>
        <v/>
      </c>
      <c r="O57" s="14" t="s">
        <v>34</v>
      </c>
      <c r="P57" s="14" t="s">
        <v>35</v>
      </c>
      <c r="Q57" s="14" t="s">
        <v>36</v>
      </c>
      <c r="R57" s="14"/>
      <c r="S57" t="str">
        <f>IF(E57="","",IFERROR(INDEX(tblProductos[STOCK_ACTUAL],MATCH(E57,tblProductos[ITEM],0)),""))</f>
        <v/>
      </c>
    </row>
    <row r="58" spans="1:19" x14ac:dyDescent="0.3">
      <c r="A58" s="40"/>
      <c r="B58" s="14" t="str">
        <f t="shared" si="0"/>
        <v/>
      </c>
      <c r="C58" s="14" t="str">
        <f>IF(D58="","",IFERROR(INDEX(tblClientes[ID],MATCH(D58,tblClientes[NOMBRE],0)),""))</f>
        <v/>
      </c>
      <c r="D58" s="14"/>
      <c r="E58" s="14"/>
      <c r="F58" s="14" t="str">
        <f>IF(E58="","",IFERROR(INDEX(tblProductos[CATEGORIA],MATCH(E58,tblProductos[ITEM],0)),""))</f>
        <v/>
      </c>
      <c r="G58" s="15"/>
      <c r="H58" s="16"/>
      <c r="I58" s="16" t="str">
        <f>IF(E58="","",IFERROR(INDEX(tblProductos[PRECIO_VENTA],MATCH(E58,tblProductos[ITEM],0)),""))</f>
        <v/>
      </c>
      <c r="J58" s="16" t="str">
        <f t="shared" si="1"/>
        <v/>
      </c>
      <c r="K58" s="16" t="str">
        <f t="shared" si="2"/>
        <v/>
      </c>
      <c r="L58" s="16" t="str">
        <f>IF(E58="","",IFERROR(INDEX(tblProductos[COSTO TOTAL],MATCH(E58,tblProductos[ITEM],0)),""))</f>
        <v/>
      </c>
      <c r="M58" s="16" t="str">
        <f t="shared" si="3"/>
        <v/>
      </c>
      <c r="N58" s="16" t="str">
        <f t="shared" si="4"/>
        <v/>
      </c>
      <c r="O58" s="14" t="s">
        <v>34</v>
      </c>
      <c r="P58" s="14" t="s">
        <v>35</v>
      </c>
      <c r="Q58" s="14" t="s">
        <v>36</v>
      </c>
      <c r="R58" s="14"/>
      <c r="S58" t="str">
        <f>IF(E58="","",IFERROR(INDEX(tblProductos[STOCK_ACTUAL],MATCH(E58,tblProductos[ITEM],0)),""))</f>
        <v/>
      </c>
    </row>
    <row r="59" spans="1:19" x14ac:dyDescent="0.3">
      <c r="A59" s="40"/>
      <c r="B59" s="14" t="str">
        <f t="shared" si="0"/>
        <v/>
      </c>
      <c r="C59" s="14" t="str">
        <f>IF(D59="","",IFERROR(INDEX(tblClientes[ID],MATCH(D59,tblClientes[NOMBRE],0)),""))</f>
        <v/>
      </c>
      <c r="D59" s="14"/>
      <c r="E59" s="14"/>
      <c r="F59" s="14" t="str">
        <f>IF(E59="","",IFERROR(INDEX(tblProductos[CATEGORIA],MATCH(E59,tblProductos[ITEM],0)),""))</f>
        <v/>
      </c>
      <c r="G59" s="15"/>
      <c r="H59" s="16"/>
      <c r="I59" s="16" t="str">
        <f>IF(E59="","",IFERROR(INDEX(tblProductos[PRECIO_VENTA],MATCH(E59,tblProductos[ITEM],0)),""))</f>
        <v/>
      </c>
      <c r="J59" s="16" t="str">
        <f t="shared" si="1"/>
        <v/>
      </c>
      <c r="K59" s="16" t="str">
        <f t="shared" si="2"/>
        <v/>
      </c>
      <c r="L59" s="16" t="str">
        <f>IF(E59="","",IFERROR(INDEX(tblProductos[COSTO TOTAL],MATCH(E59,tblProductos[ITEM],0)),""))</f>
        <v/>
      </c>
      <c r="M59" s="16" t="str">
        <f t="shared" si="3"/>
        <v/>
      </c>
      <c r="N59" s="16" t="str">
        <f t="shared" si="4"/>
        <v/>
      </c>
      <c r="O59" s="14" t="s">
        <v>34</v>
      </c>
      <c r="P59" s="14" t="s">
        <v>35</v>
      </c>
      <c r="Q59" s="14" t="s">
        <v>36</v>
      </c>
      <c r="R59" s="14"/>
      <c r="S59" t="str">
        <f>IF(E59="","",IFERROR(INDEX(tblProductos[STOCK_ACTUAL],MATCH(E59,tblProductos[ITEM],0)),""))</f>
        <v/>
      </c>
    </row>
    <row r="60" spans="1:19" x14ac:dyDescent="0.3">
      <c r="A60" s="40"/>
      <c r="B60" s="14" t="str">
        <f t="shared" si="0"/>
        <v/>
      </c>
      <c r="C60" s="14" t="str">
        <f>IF(D60="","",IFERROR(INDEX(tblClientes[ID],MATCH(D60,tblClientes[NOMBRE],0)),""))</f>
        <v/>
      </c>
      <c r="D60" s="14"/>
      <c r="E60" s="14"/>
      <c r="F60" s="14" t="str">
        <f>IF(E60="","",IFERROR(INDEX(tblProductos[CATEGORIA],MATCH(E60,tblProductos[ITEM],0)),""))</f>
        <v/>
      </c>
      <c r="G60" s="15"/>
      <c r="H60" s="16"/>
      <c r="I60" s="16" t="str">
        <f>IF(E60="","",IFERROR(INDEX(tblProductos[PRECIO_VENTA],MATCH(E60,tblProductos[ITEM],0)),""))</f>
        <v/>
      </c>
      <c r="J60" s="16" t="str">
        <f t="shared" si="1"/>
        <v/>
      </c>
      <c r="K60" s="16" t="str">
        <f t="shared" si="2"/>
        <v/>
      </c>
      <c r="L60" s="16" t="str">
        <f>IF(E60="","",IFERROR(INDEX(tblProductos[COSTO TOTAL],MATCH(E60,tblProductos[ITEM],0)),""))</f>
        <v/>
      </c>
      <c r="M60" s="16" t="str">
        <f t="shared" si="3"/>
        <v/>
      </c>
      <c r="N60" s="16" t="str">
        <f t="shared" si="4"/>
        <v/>
      </c>
      <c r="O60" s="14" t="s">
        <v>34</v>
      </c>
      <c r="P60" s="14" t="s">
        <v>35</v>
      </c>
      <c r="Q60" s="14" t="s">
        <v>36</v>
      </c>
      <c r="R60" s="14"/>
      <c r="S60" t="str">
        <f>IF(E60="","",IFERROR(INDEX(tblProductos[STOCK_ACTUAL],MATCH(E60,tblProductos[ITEM],0)),""))</f>
        <v/>
      </c>
    </row>
    <row r="61" spans="1:19" x14ac:dyDescent="0.3">
      <c r="A61" s="40"/>
      <c r="B61" s="14" t="str">
        <f t="shared" si="0"/>
        <v/>
      </c>
      <c r="C61" s="14" t="str">
        <f>IF(D61="","",IFERROR(INDEX(tblClientes[ID],MATCH(D61,tblClientes[NOMBRE],0)),""))</f>
        <v/>
      </c>
      <c r="D61" s="14"/>
      <c r="E61" s="14"/>
      <c r="F61" s="14" t="str">
        <f>IF(E61="","",IFERROR(INDEX(tblProductos[CATEGORIA],MATCH(E61,tblProductos[ITEM],0)),""))</f>
        <v/>
      </c>
      <c r="G61" s="15"/>
      <c r="H61" s="16"/>
      <c r="I61" s="16" t="str">
        <f>IF(E61="","",IFERROR(INDEX(tblProductos[PRECIO_VENTA],MATCH(E61,tblProductos[ITEM],0)),""))</f>
        <v/>
      </c>
      <c r="J61" s="16" t="str">
        <f t="shared" si="1"/>
        <v/>
      </c>
      <c r="K61" s="16" t="str">
        <f t="shared" si="2"/>
        <v/>
      </c>
      <c r="L61" s="16" t="str">
        <f>IF(E61="","",IFERROR(INDEX(tblProductos[COSTO TOTAL],MATCH(E61,tblProductos[ITEM],0)),""))</f>
        <v/>
      </c>
      <c r="M61" s="16" t="str">
        <f t="shared" si="3"/>
        <v/>
      </c>
      <c r="N61" s="16" t="str">
        <f t="shared" si="4"/>
        <v/>
      </c>
      <c r="O61" s="14" t="s">
        <v>34</v>
      </c>
      <c r="P61" s="14" t="s">
        <v>35</v>
      </c>
      <c r="Q61" s="14" t="s">
        <v>36</v>
      </c>
      <c r="R61" s="14"/>
      <c r="S61" t="str">
        <f>IF(E61="","",IFERROR(INDEX(tblProductos[STOCK_ACTUAL],MATCH(E61,tblProductos[ITEM],0)),""))</f>
        <v/>
      </c>
    </row>
    <row r="62" spans="1:19" x14ac:dyDescent="0.3">
      <c r="A62" s="40"/>
      <c r="B62" s="14" t="str">
        <f t="shared" si="0"/>
        <v/>
      </c>
      <c r="C62" s="14" t="str">
        <f>IF(D62="","",IFERROR(INDEX(tblClientes[ID],MATCH(D62,tblClientes[NOMBRE],0)),""))</f>
        <v/>
      </c>
      <c r="D62" s="14"/>
      <c r="E62" s="14"/>
      <c r="F62" s="14" t="str">
        <f>IF(E62="","",IFERROR(INDEX(tblProductos[CATEGORIA],MATCH(E62,tblProductos[ITEM],0)),""))</f>
        <v/>
      </c>
      <c r="G62" s="15"/>
      <c r="H62" s="16"/>
      <c r="I62" s="16" t="str">
        <f>IF(E62="","",IFERROR(INDEX(tblProductos[PRECIO_VENTA],MATCH(E62,tblProductos[ITEM],0)),""))</f>
        <v/>
      </c>
      <c r="J62" s="16" t="str">
        <f t="shared" si="1"/>
        <v/>
      </c>
      <c r="K62" s="16" t="str">
        <f t="shared" si="2"/>
        <v/>
      </c>
      <c r="L62" s="16" t="str">
        <f>IF(E62="","",IFERROR(INDEX(tblProductos[COSTO TOTAL],MATCH(E62,tblProductos[ITEM],0)),""))</f>
        <v/>
      </c>
      <c r="M62" s="16" t="str">
        <f t="shared" si="3"/>
        <v/>
      </c>
      <c r="N62" s="16" t="str">
        <f t="shared" si="4"/>
        <v/>
      </c>
      <c r="O62" s="14" t="s">
        <v>34</v>
      </c>
      <c r="P62" s="14" t="s">
        <v>35</v>
      </c>
      <c r="Q62" s="14" t="s">
        <v>36</v>
      </c>
      <c r="R62" s="14"/>
      <c r="S62" t="str">
        <f>IF(E62="","",IFERROR(INDEX(tblProductos[STOCK_ACTUAL],MATCH(E62,tblProductos[ITEM],0)),""))</f>
        <v/>
      </c>
    </row>
    <row r="63" spans="1:19" x14ac:dyDescent="0.3">
      <c r="A63" s="40"/>
      <c r="B63" s="14" t="str">
        <f t="shared" si="0"/>
        <v/>
      </c>
      <c r="C63" s="14" t="str">
        <f>IF(D63="","",IFERROR(INDEX(tblClientes[ID],MATCH(D63,tblClientes[NOMBRE],0)),""))</f>
        <v/>
      </c>
      <c r="D63" s="14"/>
      <c r="E63" s="14"/>
      <c r="F63" s="14" t="str">
        <f>IF(E63="","",IFERROR(INDEX(tblProductos[CATEGORIA],MATCH(E63,tblProductos[ITEM],0)),""))</f>
        <v/>
      </c>
      <c r="G63" s="15"/>
      <c r="H63" s="16"/>
      <c r="I63" s="16" t="str">
        <f>IF(E63="","",IFERROR(INDEX(tblProductos[PRECIO_VENTA],MATCH(E63,tblProductos[ITEM],0)),""))</f>
        <v/>
      </c>
      <c r="J63" s="16" t="str">
        <f t="shared" si="1"/>
        <v/>
      </c>
      <c r="K63" s="16" t="str">
        <f t="shared" si="2"/>
        <v/>
      </c>
      <c r="L63" s="16" t="str">
        <f>IF(E63="","",IFERROR(INDEX(tblProductos[COSTO TOTAL],MATCH(E63,tblProductos[ITEM],0)),""))</f>
        <v/>
      </c>
      <c r="M63" s="16" t="str">
        <f t="shared" si="3"/>
        <v/>
      </c>
      <c r="N63" s="16" t="str">
        <f t="shared" si="4"/>
        <v/>
      </c>
      <c r="O63" s="14" t="s">
        <v>34</v>
      </c>
      <c r="P63" s="14" t="s">
        <v>35</v>
      </c>
      <c r="Q63" s="14" t="s">
        <v>36</v>
      </c>
      <c r="R63" s="14"/>
      <c r="S63" t="str">
        <f>IF(E63="","",IFERROR(INDEX(tblProductos[STOCK_ACTUAL],MATCH(E63,tblProductos[ITEM],0)),""))</f>
        <v/>
      </c>
    </row>
    <row r="64" spans="1:19" x14ac:dyDescent="0.3">
      <c r="A64" s="40"/>
      <c r="B64" s="14" t="str">
        <f t="shared" si="0"/>
        <v/>
      </c>
      <c r="C64" s="14" t="str">
        <f>IF(D64="","",IFERROR(INDEX(tblClientes[ID],MATCH(D64,tblClientes[NOMBRE],0)),""))</f>
        <v/>
      </c>
      <c r="D64" s="14"/>
      <c r="E64" s="14"/>
      <c r="F64" s="14" t="str">
        <f>IF(E64="","",IFERROR(INDEX(tblProductos[CATEGORIA],MATCH(E64,tblProductos[ITEM],0)),""))</f>
        <v/>
      </c>
      <c r="G64" s="15"/>
      <c r="H64" s="16"/>
      <c r="I64" s="16" t="str">
        <f>IF(E64="","",IFERROR(INDEX(tblProductos[PRECIO_VENTA],MATCH(E64,tblProductos[ITEM],0)),""))</f>
        <v/>
      </c>
      <c r="J64" s="16" t="str">
        <f t="shared" si="1"/>
        <v/>
      </c>
      <c r="K64" s="16" t="str">
        <f t="shared" si="2"/>
        <v/>
      </c>
      <c r="L64" s="16" t="str">
        <f>IF(E64="","",IFERROR(INDEX(tblProductos[COSTO TOTAL],MATCH(E64,tblProductos[ITEM],0)),""))</f>
        <v/>
      </c>
      <c r="M64" s="16" t="str">
        <f t="shared" si="3"/>
        <v/>
      </c>
      <c r="N64" s="16" t="str">
        <f t="shared" si="4"/>
        <v/>
      </c>
      <c r="O64" s="14" t="s">
        <v>34</v>
      </c>
      <c r="P64" s="14" t="s">
        <v>35</v>
      </c>
      <c r="Q64" s="14" t="s">
        <v>36</v>
      </c>
      <c r="R64" s="14"/>
      <c r="S64" t="str">
        <f>IF(E64="","",IFERROR(INDEX(tblProductos[STOCK_ACTUAL],MATCH(E64,tblProductos[ITEM],0)),""))</f>
        <v/>
      </c>
    </row>
    <row r="65" spans="1:19" x14ac:dyDescent="0.3">
      <c r="A65" s="40"/>
      <c r="B65" s="14" t="str">
        <f t="shared" si="0"/>
        <v/>
      </c>
      <c r="C65" s="14" t="str">
        <f>IF(D65="","",IFERROR(INDEX(tblClientes[ID],MATCH(D65,tblClientes[NOMBRE],0)),""))</f>
        <v/>
      </c>
      <c r="D65" s="14"/>
      <c r="E65" s="14"/>
      <c r="F65" s="14" t="str">
        <f>IF(E65="","",IFERROR(INDEX(tblProductos[CATEGORIA],MATCH(E65,tblProductos[ITEM],0)),""))</f>
        <v/>
      </c>
      <c r="G65" s="15"/>
      <c r="H65" s="16"/>
      <c r="I65" s="16" t="str">
        <f>IF(E65="","",IFERROR(INDEX(tblProductos[PRECIO_VENTA],MATCH(E65,tblProductos[ITEM],0)),""))</f>
        <v/>
      </c>
      <c r="J65" s="16" t="str">
        <f t="shared" si="1"/>
        <v/>
      </c>
      <c r="K65" s="16" t="str">
        <f t="shared" si="2"/>
        <v/>
      </c>
      <c r="L65" s="16" t="str">
        <f>IF(E65="","",IFERROR(INDEX(tblProductos[COSTO TOTAL],MATCH(E65,tblProductos[ITEM],0)),""))</f>
        <v/>
      </c>
      <c r="M65" s="16" t="str">
        <f t="shared" si="3"/>
        <v/>
      </c>
      <c r="N65" s="16" t="str">
        <f t="shared" si="4"/>
        <v/>
      </c>
      <c r="O65" s="14" t="s">
        <v>34</v>
      </c>
      <c r="P65" s="14" t="s">
        <v>35</v>
      </c>
      <c r="Q65" s="14" t="s">
        <v>36</v>
      </c>
      <c r="R65" s="14"/>
      <c r="S65" t="str">
        <f>IF(E65="","",IFERROR(INDEX(tblProductos[STOCK_ACTUAL],MATCH(E65,tblProductos[ITEM],0)),""))</f>
        <v/>
      </c>
    </row>
    <row r="66" spans="1:19" x14ac:dyDescent="0.3">
      <c r="A66" s="40"/>
      <c r="B66" s="14" t="str">
        <f t="shared" ref="B66:B129" si="5">IF(A66="","", "V"&amp;TEXT(A66,"yymmdd")&amp;"-"&amp;TEXT(ROW()-1,"0000"))</f>
        <v/>
      </c>
      <c r="C66" s="14" t="str">
        <f>IF(D66="","",IFERROR(INDEX(tblClientes[ID],MATCH(D66,tblClientes[NOMBRE],0)),""))</f>
        <v/>
      </c>
      <c r="D66" s="14"/>
      <c r="E66" s="14"/>
      <c r="F66" s="14" t="str">
        <f>IF(E66="","",IFERROR(INDEX(tblProductos[CATEGORIA],MATCH(E66,tblProductos[ITEM],0)),""))</f>
        <v/>
      </c>
      <c r="G66" s="15"/>
      <c r="H66" s="16"/>
      <c r="I66" s="16" t="str">
        <f>IF(E66="","",IFERROR(INDEX(tblProductos[PRECIO_VENTA],MATCH(E66,tblProductos[ITEM],0)),""))</f>
        <v/>
      </c>
      <c r="J66" s="16" t="str">
        <f t="shared" ref="J66:J129" si="6">IF(H66="",I66,H66)</f>
        <v/>
      </c>
      <c r="K66" s="16" t="str">
        <f t="shared" ref="K66:K129" si="7">IF(G66="","",G66*J66)</f>
        <v/>
      </c>
      <c r="L66" s="16" t="str">
        <f>IF(E66="","",IFERROR(INDEX(tblProductos[COSTO TOTAL],MATCH(E66,tblProductos[ITEM],0)),""))</f>
        <v/>
      </c>
      <c r="M66" s="16" t="str">
        <f t="shared" ref="M66:M129" si="8">IF(G66="","",G66*L66)</f>
        <v/>
      </c>
      <c r="N66" s="16" t="str">
        <f t="shared" ref="N66:N129" si="9">IF(K66="","",K66-M66)</f>
        <v/>
      </c>
      <c r="O66" s="14" t="s">
        <v>34</v>
      </c>
      <c r="P66" s="14" t="s">
        <v>35</v>
      </c>
      <c r="Q66" s="14" t="s">
        <v>36</v>
      </c>
      <c r="R66" s="14"/>
      <c r="S66" t="str">
        <f>IF(E66="","",IFERROR(INDEX(tblProductos[STOCK_ACTUAL],MATCH(E66,tblProductos[ITEM],0)),""))</f>
        <v/>
      </c>
    </row>
    <row r="67" spans="1:19" x14ac:dyDescent="0.3">
      <c r="A67" s="40"/>
      <c r="B67" s="14" t="str">
        <f t="shared" si="5"/>
        <v/>
      </c>
      <c r="C67" s="14" t="str">
        <f>IF(D67="","",IFERROR(INDEX(tblClientes[ID],MATCH(D67,tblClientes[NOMBRE],0)),""))</f>
        <v/>
      </c>
      <c r="D67" s="14"/>
      <c r="E67" s="14"/>
      <c r="F67" s="14" t="str">
        <f>IF(E67="","",IFERROR(INDEX(tblProductos[CATEGORIA],MATCH(E67,tblProductos[ITEM],0)),""))</f>
        <v/>
      </c>
      <c r="G67" s="15"/>
      <c r="H67" s="16"/>
      <c r="I67" s="16" t="str">
        <f>IF(E67="","",IFERROR(INDEX(tblProductos[PRECIO_VENTA],MATCH(E67,tblProductos[ITEM],0)),""))</f>
        <v/>
      </c>
      <c r="J67" s="16" t="str">
        <f t="shared" si="6"/>
        <v/>
      </c>
      <c r="K67" s="16" t="str">
        <f t="shared" si="7"/>
        <v/>
      </c>
      <c r="L67" s="16" t="str">
        <f>IF(E67="","",IFERROR(INDEX(tblProductos[COSTO TOTAL],MATCH(E67,tblProductos[ITEM],0)),""))</f>
        <v/>
      </c>
      <c r="M67" s="16" t="str">
        <f t="shared" si="8"/>
        <v/>
      </c>
      <c r="N67" s="16" t="str">
        <f t="shared" si="9"/>
        <v/>
      </c>
      <c r="O67" s="14" t="s">
        <v>34</v>
      </c>
      <c r="P67" s="14" t="s">
        <v>35</v>
      </c>
      <c r="Q67" s="14" t="s">
        <v>36</v>
      </c>
      <c r="R67" s="14"/>
      <c r="S67" t="str">
        <f>IF(E67="","",IFERROR(INDEX(tblProductos[STOCK_ACTUAL],MATCH(E67,tblProductos[ITEM],0)),""))</f>
        <v/>
      </c>
    </row>
    <row r="68" spans="1:19" x14ac:dyDescent="0.3">
      <c r="A68" s="40"/>
      <c r="B68" s="14" t="str">
        <f t="shared" si="5"/>
        <v/>
      </c>
      <c r="C68" s="14" t="str">
        <f>IF(D68="","",IFERROR(INDEX(tblClientes[ID],MATCH(D68,tblClientes[NOMBRE],0)),""))</f>
        <v/>
      </c>
      <c r="D68" s="14"/>
      <c r="E68" s="14"/>
      <c r="F68" s="14" t="str">
        <f>IF(E68="","",IFERROR(INDEX(tblProductos[CATEGORIA],MATCH(E68,tblProductos[ITEM],0)),""))</f>
        <v/>
      </c>
      <c r="G68" s="15"/>
      <c r="H68" s="16"/>
      <c r="I68" s="16" t="str">
        <f>IF(E68="","",IFERROR(INDEX(tblProductos[PRECIO_VENTA],MATCH(E68,tblProductos[ITEM],0)),""))</f>
        <v/>
      </c>
      <c r="J68" s="16" t="str">
        <f t="shared" si="6"/>
        <v/>
      </c>
      <c r="K68" s="16" t="str">
        <f t="shared" si="7"/>
        <v/>
      </c>
      <c r="L68" s="16" t="str">
        <f>IF(E68="","",IFERROR(INDEX(tblProductos[COSTO TOTAL],MATCH(E68,tblProductos[ITEM],0)),""))</f>
        <v/>
      </c>
      <c r="M68" s="16" t="str">
        <f t="shared" si="8"/>
        <v/>
      </c>
      <c r="N68" s="16" t="str">
        <f t="shared" si="9"/>
        <v/>
      </c>
      <c r="O68" s="14" t="s">
        <v>34</v>
      </c>
      <c r="P68" s="14" t="s">
        <v>35</v>
      </c>
      <c r="Q68" s="14" t="s">
        <v>36</v>
      </c>
      <c r="R68" s="14"/>
      <c r="S68" t="str">
        <f>IF(E68="","",IFERROR(INDEX(tblProductos[STOCK_ACTUAL],MATCH(E68,tblProductos[ITEM],0)),""))</f>
        <v/>
      </c>
    </row>
    <row r="69" spans="1:19" x14ac:dyDescent="0.3">
      <c r="A69" s="40"/>
      <c r="B69" s="14" t="str">
        <f t="shared" si="5"/>
        <v/>
      </c>
      <c r="C69" s="14" t="str">
        <f>IF(D69="","",IFERROR(INDEX(tblClientes[ID],MATCH(D69,tblClientes[NOMBRE],0)),""))</f>
        <v/>
      </c>
      <c r="D69" s="14"/>
      <c r="E69" s="14"/>
      <c r="F69" s="14" t="str">
        <f>IF(E69="","",IFERROR(INDEX(tblProductos[CATEGORIA],MATCH(E69,tblProductos[ITEM],0)),""))</f>
        <v/>
      </c>
      <c r="G69" s="15"/>
      <c r="H69" s="16"/>
      <c r="I69" s="16" t="str">
        <f>IF(E69="","",IFERROR(INDEX(tblProductos[PRECIO_VENTA],MATCH(E69,tblProductos[ITEM],0)),""))</f>
        <v/>
      </c>
      <c r="J69" s="16" t="str">
        <f t="shared" si="6"/>
        <v/>
      </c>
      <c r="K69" s="16" t="str">
        <f t="shared" si="7"/>
        <v/>
      </c>
      <c r="L69" s="16" t="str">
        <f>IF(E69="","",IFERROR(INDEX(tblProductos[COSTO TOTAL],MATCH(E69,tblProductos[ITEM],0)),""))</f>
        <v/>
      </c>
      <c r="M69" s="16" t="str">
        <f t="shared" si="8"/>
        <v/>
      </c>
      <c r="N69" s="16" t="str">
        <f t="shared" si="9"/>
        <v/>
      </c>
      <c r="O69" s="14" t="s">
        <v>34</v>
      </c>
      <c r="P69" s="14" t="s">
        <v>35</v>
      </c>
      <c r="Q69" s="14" t="s">
        <v>36</v>
      </c>
      <c r="R69" s="14"/>
      <c r="S69" t="str">
        <f>IF(E69="","",IFERROR(INDEX(tblProductos[STOCK_ACTUAL],MATCH(E69,tblProductos[ITEM],0)),""))</f>
        <v/>
      </c>
    </row>
    <row r="70" spans="1:19" x14ac:dyDescent="0.3">
      <c r="A70" s="40"/>
      <c r="B70" s="14" t="str">
        <f t="shared" si="5"/>
        <v/>
      </c>
      <c r="C70" s="14" t="str">
        <f>IF(D70="","",IFERROR(INDEX(tblClientes[ID],MATCH(D70,tblClientes[NOMBRE],0)),""))</f>
        <v/>
      </c>
      <c r="D70" s="14"/>
      <c r="E70" s="14"/>
      <c r="F70" s="14" t="str">
        <f>IF(E70="","",IFERROR(INDEX(tblProductos[CATEGORIA],MATCH(E70,tblProductos[ITEM],0)),""))</f>
        <v/>
      </c>
      <c r="G70" s="15"/>
      <c r="H70" s="16"/>
      <c r="I70" s="16" t="str">
        <f>IF(E70="","",IFERROR(INDEX(tblProductos[PRECIO_VENTA],MATCH(E70,tblProductos[ITEM],0)),""))</f>
        <v/>
      </c>
      <c r="J70" s="16" t="str">
        <f t="shared" si="6"/>
        <v/>
      </c>
      <c r="K70" s="16" t="str">
        <f t="shared" si="7"/>
        <v/>
      </c>
      <c r="L70" s="16" t="str">
        <f>IF(E70="","",IFERROR(INDEX(tblProductos[COSTO TOTAL],MATCH(E70,tblProductos[ITEM],0)),""))</f>
        <v/>
      </c>
      <c r="M70" s="16" t="str">
        <f t="shared" si="8"/>
        <v/>
      </c>
      <c r="N70" s="16" t="str">
        <f t="shared" si="9"/>
        <v/>
      </c>
      <c r="O70" s="14" t="s">
        <v>34</v>
      </c>
      <c r="P70" s="14" t="s">
        <v>35</v>
      </c>
      <c r="Q70" s="14" t="s">
        <v>36</v>
      </c>
      <c r="R70" s="14"/>
      <c r="S70" t="str">
        <f>IF(E70="","",IFERROR(INDEX(tblProductos[STOCK_ACTUAL],MATCH(E70,tblProductos[ITEM],0)),""))</f>
        <v/>
      </c>
    </row>
    <row r="71" spans="1:19" x14ac:dyDescent="0.3">
      <c r="A71" s="40"/>
      <c r="B71" s="14" t="str">
        <f t="shared" si="5"/>
        <v/>
      </c>
      <c r="C71" s="14" t="str">
        <f>IF(D71="","",IFERROR(INDEX(tblClientes[ID],MATCH(D71,tblClientes[NOMBRE],0)),""))</f>
        <v/>
      </c>
      <c r="D71" s="14"/>
      <c r="E71" s="14"/>
      <c r="F71" s="14" t="str">
        <f>IF(E71="","",IFERROR(INDEX(tblProductos[CATEGORIA],MATCH(E71,tblProductos[ITEM],0)),""))</f>
        <v/>
      </c>
      <c r="G71" s="15"/>
      <c r="H71" s="16"/>
      <c r="I71" s="16" t="str">
        <f>IF(E71="","",IFERROR(INDEX(tblProductos[PRECIO_VENTA],MATCH(E71,tblProductos[ITEM],0)),""))</f>
        <v/>
      </c>
      <c r="J71" s="16" t="str">
        <f t="shared" si="6"/>
        <v/>
      </c>
      <c r="K71" s="16" t="str">
        <f t="shared" si="7"/>
        <v/>
      </c>
      <c r="L71" s="16" t="str">
        <f>IF(E71="","",IFERROR(INDEX(tblProductos[COSTO TOTAL],MATCH(E71,tblProductos[ITEM],0)),""))</f>
        <v/>
      </c>
      <c r="M71" s="16" t="str">
        <f t="shared" si="8"/>
        <v/>
      </c>
      <c r="N71" s="16" t="str">
        <f t="shared" si="9"/>
        <v/>
      </c>
      <c r="O71" s="14" t="s">
        <v>34</v>
      </c>
      <c r="P71" s="14" t="s">
        <v>35</v>
      </c>
      <c r="Q71" s="14" t="s">
        <v>36</v>
      </c>
      <c r="R71" s="14"/>
      <c r="S71" t="str">
        <f>IF(E71="","",IFERROR(INDEX(tblProductos[STOCK_ACTUAL],MATCH(E71,tblProductos[ITEM],0)),""))</f>
        <v/>
      </c>
    </row>
    <row r="72" spans="1:19" x14ac:dyDescent="0.3">
      <c r="A72" s="40"/>
      <c r="B72" s="14" t="str">
        <f t="shared" si="5"/>
        <v/>
      </c>
      <c r="C72" s="14" t="str">
        <f>IF(D72="","",IFERROR(INDEX(tblClientes[ID],MATCH(D72,tblClientes[NOMBRE],0)),""))</f>
        <v/>
      </c>
      <c r="D72" s="14"/>
      <c r="E72" s="14"/>
      <c r="F72" s="14" t="str">
        <f>IF(E72="","",IFERROR(INDEX(tblProductos[CATEGORIA],MATCH(E72,tblProductos[ITEM],0)),""))</f>
        <v/>
      </c>
      <c r="G72" s="15"/>
      <c r="H72" s="16"/>
      <c r="I72" s="16" t="str">
        <f>IF(E72="","",IFERROR(INDEX(tblProductos[PRECIO_VENTA],MATCH(E72,tblProductos[ITEM],0)),""))</f>
        <v/>
      </c>
      <c r="J72" s="16" t="str">
        <f t="shared" si="6"/>
        <v/>
      </c>
      <c r="K72" s="16" t="str">
        <f t="shared" si="7"/>
        <v/>
      </c>
      <c r="L72" s="16" t="str">
        <f>IF(E72="","",IFERROR(INDEX(tblProductos[COSTO TOTAL],MATCH(E72,tblProductos[ITEM],0)),""))</f>
        <v/>
      </c>
      <c r="M72" s="16" t="str">
        <f t="shared" si="8"/>
        <v/>
      </c>
      <c r="N72" s="16" t="str">
        <f t="shared" si="9"/>
        <v/>
      </c>
      <c r="O72" s="14" t="s">
        <v>34</v>
      </c>
      <c r="P72" s="14" t="s">
        <v>35</v>
      </c>
      <c r="Q72" s="14" t="s">
        <v>36</v>
      </c>
      <c r="R72" s="14"/>
      <c r="S72" t="str">
        <f>IF(E72="","",IFERROR(INDEX(tblProductos[STOCK_ACTUAL],MATCH(E72,tblProductos[ITEM],0)),""))</f>
        <v/>
      </c>
    </row>
    <row r="73" spans="1:19" x14ac:dyDescent="0.3">
      <c r="A73" s="40"/>
      <c r="B73" s="14" t="str">
        <f t="shared" si="5"/>
        <v/>
      </c>
      <c r="C73" s="14" t="str">
        <f>IF(D73="","",IFERROR(INDEX(tblClientes[ID],MATCH(D73,tblClientes[NOMBRE],0)),""))</f>
        <v/>
      </c>
      <c r="D73" s="14"/>
      <c r="E73" s="14"/>
      <c r="F73" s="14" t="str">
        <f>IF(E73="","",IFERROR(INDEX(tblProductos[CATEGORIA],MATCH(E73,tblProductos[ITEM],0)),""))</f>
        <v/>
      </c>
      <c r="G73" s="15"/>
      <c r="H73" s="16"/>
      <c r="I73" s="16" t="str">
        <f>IF(E73="","",IFERROR(INDEX(tblProductos[PRECIO_VENTA],MATCH(E73,tblProductos[ITEM],0)),""))</f>
        <v/>
      </c>
      <c r="J73" s="16" t="str">
        <f t="shared" si="6"/>
        <v/>
      </c>
      <c r="K73" s="16" t="str">
        <f t="shared" si="7"/>
        <v/>
      </c>
      <c r="L73" s="16" t="str">
        <f>IF(E73="","",IFERROR(INDEX(tblProductos[COSTO TOTAL],MATCH(E73,tblProductos[ITEM],0)),""))</f>
        <v/>
      </c>
      <c r="M73" s="16" t="str">
        <f t="shared" si="8"/>
        <v/>
      </c>
      <c r="N73" s="16" t="str">
        <f t="shared" si="9"/>
        <v/>
      </c>
      <c r="O73" s="14" t="s">
        <v>34</v>
      </c>
      <c r="P73" s="14" t="s">
        <v>35</v>
      </c>
      <c r="Q73" s="14" t="s">
        <v>36</v>
      </c>
      <c r="R73" s="14"/>
      <c r="S73" t="str">
        <f>IF(E73="","",IFERROR(INDEX(tblProductos[STOCK_ACTUAL],MATCH(E73,tblProductos[ITEM],0)),""))</f>
        <v/>
      </c>
    </row>
    <row r="74" spans="1:19" x14ac:dyDescent="0.3">
      <c r="A74" s="40"/>
      <c r="B74" s="14" t="str">
        <f t="shared" si="5"/>
        <v/>
      </c>
      <c r="C74" s="14" t="str">
        <f>IF(D74="","",IFERROR(INDEX(tblClientes[ID],MATCH(D74,tblClientes[NOMBRE],0)),""))</f>
        <v/>
      </c>
      <c r="D74" s="14"/>
      <c r="E74" s="14"/>
      <c r="F74" s="14" t="str">
        <f>IF(E74="","",IFERROR(INDEX(tblProductos[CATEGORIA],MATCH(E74,tblProductos[ITEM],0)),""))</f>
        <v/>
      </c>
      <c r="G74" s="15"/>
      <c r="H74" s="16"/>
      <c r="I74" s="16" t="str">
        <f>IF(E74="","",IFERROR(INDEX(tblProductos[PRECIO_VENTA],MATCH(E74,tblProductos[ITEM],0)),""))</f>
        <v/>
      </c>
      <c r="J74" s="16" t="str">
        <f t="shared" si="6"/>
        <v/>
      </c>
      <c r="K74" s="16" t="str">
        <f t="shared" si="7"/>
        <v/>
      </c>
      <c r="L74" s="16" t="str">
        <f>IF(E74="","",IFERROR(INDEX(tblProductos[COSTO TOTAL],MATCH(E74,tblProductos[ITEM],0)),""))</f>
        <v/>
      </c>
      <c r="M74" s="16" t="str">
        <f t="shared" si="8"/>
        <v/>
      </c>
      <c r="N74" s="16" t="str">
        <f t="shared" si="9"/>
        <v/>
      </c>
      <c r="O74" s="14" t="s">
        <v>34</v>
      </c>
      <c r="P74" s="14" t="s">
        <v>35</v>
      </c>
      <c r="Q74" s="14" t="s">
        <v>36</v>
      </c>
      <c r="R74" s="14"/>
      <c r="S74" t="str">
        <f>IF(E74="","",IFERROR(INDEX(tblProductos[STOCK_ACTUAL],MATCH(E74,tblProductos[ITEM],0)),""))</f>
        <v/>
      </c>
    </row>
    <row r="75" spans="1:19" x14ac:dyDescent="0.3">
      <c r="A75" s="40"/>
      <c r="B75" s="14" t="str">
        <f t="shared" si="5"/>
        <v/>
      </c>
      <c r="C75" s="14" t="str">
        <f>IF(D75="","",IFERROR(INDEX(tblClientes[ID],MATCH(D75,tblClientes[NOMBRE],0)),""))</f>
        <v/>
      </c>
      <c r="D75" s="14"/>
      <c r="E75" s="14"/>
      <c r="F75" s="14" t="str">
        <f>IF(E75="","",IFERROR(INDEX(tblProductos[CATEGORIA],MATCH(E75,tblProductos[ITEM],0)),""))</f>
        <v/>
      </c>
      <c r="G75" s="15"/>
      <c r="H75" s="16"/>
      <c r="I75" s="16" t="str">
        <f>IF(E75="","",IFERROR(INDEX(tblProductos[PRECIO_VENTA],MATCH(E75,tblProductos[ITEM],0)),""))</f>
        <v/>
      </c>
      <c r="J75" s="16" t="str">
        <f t="shared" si="6"/>
        <v/>
      </c>
      <c r="K75" s="16" t="str">
        <f t="shared" si="7"/>
        <v/>
      </c>
      <c r="L75" s="16" t="str">
        <f>IF(E75="","",IFERROR(INDEX(tblProductos[COSTO TOTAL],MATCH(E75,tblProductos[ITEM],0)),""))</f>
        <v/>
      </c>
      <c r="M75" s="16" t="str">
        <f t="shared" si="8"/>
        <v/>
      </c>
      <c r="N75" s="16" t="str">
        <f t="shared" si="9"/>
        <v/>
      </c>
      <c r="O75" s="14" t="s">
        <v>34</v>
      </c>
      <c r="P75" s="14" t="s">
        <v>35</v>
      </c>
      <c r="Q75" s="14" t="s">
        <v>36</v>
      </c>
      <c r="R75" s="14"/>
      <c r="S75" t="str">
        <f>IF(E75="","",IFERROR(INDEX(tblProductos[STOCK_ACTUAL],MATCH(E75,tblProductos[ITEM],0)),""))</f>
        <v/>
      </c>
    </row>
    <row r="76" spans="1:19" x14ac:dyDescent="0.3">
      <c r="A76" s="40"/>
      <c r="B76" s="14" t="str">
        <f t="shared" si="5"/>
        <v/>
      </c>
      <c r="C76" s="14" t="str">
        <f>IF(D76="","",IFERROR(INDEX(tblClientes[ID],MATCH(D76,tblClientes[NOMBRE],0)),""))</f>
        <v/>
      </c>
      <c r="D76" s="14"/>
      <c r="E76" s="14"/>
      <c r="F76" s="14" t="str">
        <f>IF(E76="","",IFERROR(INDEX(tblProductos[CATEGORIA],MATCH(E76,tblProductos[ITEM],0)),""))</f>
        <v/>
      </c>
      <c r="G76" s="15"/>
      <c r="H76" s="16"/>
      <c r="I76" s="16" t="str">
        <f>IF(E76="","",IFERROR(INDEX(tblProductos[PRECIO_VENTA],MATCH(E76,tblProductos[ITEM],0)),""))</f>
        <v/>
      </c>
      <c r="J76" s="16" t="str">
        <f t="shared" si="6"/>
        <v/>
      </c>
      <c r="K76" s="16" t="str">
        <f t="shared" si="7"/>
        <v/>
      </c>
      <c r="L76" s="16" t="str">
        <f>IF(E76="","",IFERROR(INDEX(tblProductos[COSTO TOTAL],MATCH(E76,tblProductos[ITEM],0)),""))</f>
        <v/>
      </c>
      <c r="M76" s="16" t="str">
        <f t="shared" si="8"/>
        <v/>
      </c>
      <c r="N76" s="16" t="str">
        <f t="shared" si="9"/>
        <v/>
      </c>
      <c r="O76" s="14" t="s">
        <v>34</v>
      </c>
      <c r="P76" s="14" t="s">
        <v>35</v>
      </c>
      <c r="Q76" s="14" t="s">
        <v>36</v>
      </c>
      <c r="R76" s="14"/>
      <c r="S76" t="str">
        <f>IF(E76="","",IFERROR(INDEX(tblProductos[STOCK_ACTUAL],MATCH(E76,tblProductos[ITEM],0)),""))</f>
        <v/>
      </c>
    </row>
    <row r="77" spans="1:19" x14ac:dyDescent="0.3">
      <c r="A77" s="40"/>
      <c r="B77" s="14" t="str">
        <f t="shared" si="5"/>
        <v/>
      </c>
      <c r="C77" s="14" t="str">
        <f>IF(D77="","",IFERROR(INDEX(tblClientes[ID],MATCH(D77,tblClientes[NOMBRE],0)),""))</f>
        <v/>
      </c>
      <c r="D77" s="14"/>
      <c r="E77" s="14"/>
      <c r="F77" s="14" t="str">
        <f>IF(E77="","",IFERROR(INDEX(tblProductos[CATEGORIA],MATCH(E77,tblProductos[ITEM],0)),""))</f>
        <v/>
      </c>
      <c r="G77" s="15"/>
      <c r="H77" s="16"/>
      <c r="I77" s="16" t="str">
        <f>IF(E77="","",IFERROR(INDEX(tblProductos[PRECIO_VENTA],MATCH(E77,tblProductos[ITEM],0)),""))</f>
        <v/>
      </c>
      <c r="J77" s="16" t="str">
        <f t="shared" si="6"/>
        <v/>
      </c>
      <c r="K77" s="16" t="str">
        <f t="shared" si="7"/>
        <v/>
      </c>
      <c r="L77" s="16" t="str">
        <f>IF(E77="","",IFERROR(INDEX(tblProductos[COSTO TOTAL],MATCH(E77,tblProductos[ITEM],0)),""))</f>
        <v/>
      </c>
      <c r="M77" s="16" t="str">
        <f t="shared" si="8"/>
        <v/>
      </c>
      <c r="N77" s="16" t="str">
        <f t="shared" si="9"/>
        <v/>
      </c>
      <c r="O77" s="14" t="s">
        <v>34</v>
      </c>
      <c r="P77" s="14" t="s">
        <v>35</v>
      </c>
      <c r="Q77" s="14" t="s">
        <v>36</v>
      </c>
      <c r="R77" s="14"/>
      <c r="S77" t="str">
        <f>IF(E77="","",IFERROR(INDEX(tblProductos[STOCK_ACTUAL],MATCH(E77,tblProductos[ITEM],0)),""))</f>
        <v/>
      </c>
    </row>
    <row r="78" spans="1:19" x14ac:dyDescent="0.3">
      <c r="A78" s="40"/>
      <c r="B78" s="14" t="str">
        <f t="shared" si="5"/>
        <v/>
      </c>
      <c r="C78" s="14" t="str">
        <f>IF(D78="","",IFERROR(INDEX(tblClientes[ID],MATCH(D78,tblClientes[NOMBRE],0)),""))</f>
        <v/>
      </c>
      <c r="D78" s="14"/>
      <c r="E78" s="14"/>
      <c r="F78" s="14" t="str">
        <f>IF(E78="","",IFERROR(INDEX(tblProductos[CATEGORIA],MATCH(E78,tblProductos[ITEM],0)),""))</f>
        <v/>
      </c>
      <c r="G78" s="15"/>
      <c r="H78" s="16"/>
      <c r="I78" s="16" t="str">
        <f>IF(E78="","",IFERROR(INDEX(tblProductos[PRECIO_VENTA],MATCH(E78,tblProductos[ITEM],0)),""))</f>
        <v/>
      </c>
      <c r="J78" s="16" t="str">
        <f t="shared" si="6"/>
        <v/>
      </c>
      <c r="K78" s="16" t="str">
        <f t="shared" si="7"/>
        <v/>
      </c>
      <c r="L78" s="16" t="str">
        <f>IF(E78="","",IFERROR(INDEX(tblProductos[COSTO TOTAL],MATCH(E78,tblProductos[ITEM],0)),""))</f>
        <v/>
      </c>
      <c r="M78" s="16" t="str">
        <f t="shared" si="8"/>
        <v/>
      </c>
      <c r="N78" s="16" t="str">
        <f t="shared" si="9"/>
        <v/>
      </c>
      <c r="O78" s="14" t="s">
        <v>34</v>
      </c>
      <c r="P78" s="14" t="s">
        <v>35</v>
      </c>
      <c r="Q78" s="14" t="s">
        <v>36</v>
      </c>
      <c r="R78" s="14"/>
      <c r="S78" t="str">
        <f>IF(E78="","",IFERROR(INDEX(tblProductos[STOCK_ACTUAL],MATCH(E78,tblProductos[ITEM],0)),""))</f>
        <v/>
      </c>
    </row>
    <row r="79" spans="1:19" x14ac:dyDescent="0.3">
      <c r="A79" s="40"/>
      <c r="B79" s="14" t="str">
        <f t="shared" si="5"/>
        <v/>
      </c>
      <c r="C79" s="14" t="str">
        <f>IF(D79="","",IFERROR(INDEX(tblClientes[ID],MATCH(D79,tblClientes[NOMBRE],0)),""))</f>
        <v/>
      </c>
      <c r="D79" s="14"/>
      <c r="E79" s="14"/>
      <c r="F79" s="14" t="str">
        <f>IF(E79="","",IFERROR(INDEX(tblProductos[CATEGORIA],MATCH(E79,tblProductos[ITEM],0)),""))</f>
        <v/>
      </c>
      <c r="G79" s="15"/>
      <c r="H79" s="16"/>
      <c r="I79" s="16" t="str">
        <f>IF(E79="","",IFERROR(INDEX(tblProductos[PRECIO_VENTA],MATCH(E79,tblProductos[ITEM],0)),""))</f>
        <v/>
      </c>
      <c r="J79" s="16" t="str">
        <f t="shared" si="6"/>
        <v/>
      </c>
      <c r="K79" s="16" t="str">
        <f t="shared" si="7"/>
        <v/>
      </c>
      <c r="L79" s="16" t="str">
        <f>IF(E79="","",IFERROR(INDEX(tblProductos[COSTO TOTAL],MATCH(E79,tblProductos[ITEM],0)),""))</f>
        <v/>
      </c>
      <c r="M79" s="16" t="str">
        <f t="shared" si="8"/>
        <v/>
      </c>
      <c r="N79" s="16" t="str">
        <f t="shared" si="9"/>
        <v/>
      </c>
      <c r="O79" s="14" t="s">
        <v>34</v>
      </c>
      <c r="P79" s="14" t="s">
        <v>35</v>
      </c>
      <c r="Q79" s="14" t="s">
        <v>36</v>
      </c>
      <c r="R79" s="14"/>
      <c r="S79" t="str">
        <f>IF(E79="","",IFERROR(INDEX(tblProductos[STOCK_ACTUAL],MATCH(E79,tblProductos[ITEM],0)),""))</f>
        <v/>
      </c>
    </row>
    <row r="80" spans="1:19" x14ac:dyDescent="0.3">
      <c r="A80" s="40"/>
      <c r="B80" s="14" t="str">
        <f t="shared" si="5"/>
        <v/>
      </c>
      <c r="C80" s="14" t="str">
        <f>IF(D80="","",IFERROR(INDEX(tblClientes[ID],MATCH(D80,tblClientes[NOMBRE],0)),""))</f>
        <v/>
      </c>
      <c r="D80" s="14"/>
      <c r="E80" s="14"/>
      <c r="F80" s="14" t="str">
        <f>IF(E80="","",IFERROR(INDEX(tblProductos[CATEGORIA],MATCH(E80,tblProductos[ITEM],0)),""))</f>
        <v/>
      </c>
      <c r="G80" s="15"/>
      <c r="H80" s="16"/>
      <c r="I80" s="16" t="str">
        <f>IF(E80="","",IFERROR(INDEX(tblProductos[PRECIO_VENTA],MATCH(E80,tblProductos[ITEM],0)),""))</f>
        <v/>
      </c>
      <c r="J80" s="16" t="str">
        <f t="shared" si="6"/>
        <v/>
      </c>
      <c r="K80" s="16" t="str">
        <f t="shared" si="7"/>
        <v/>
      </c>
      <c r="L80" s="16" t="str">
        <f>IF(E80="","",IFERROR(INDEX(tblProductos[COSTO TOTAL],MATCH(E80,tblProductos[ITEM],0)),""))</f>
        <v/>
      </c>
      <c r="M80" s="16" t="str">
        <f t="shared" si="8"/>
        <v/>
      </c>
      <c r="N80" s="16" t="str">
        <f t="shared" si="9"/>
        <v/>
      </c>
      <c r="O80" s="14" t="s">
        <v>34</v>
      </c>
      <c r="P80" s="14" t="s">
        <v>35</v>
      </c>
      <c r="Q80" s="14" t="s">
        <v>36</v>
      </c>
      <c r="R80" s="14"/>
      <c r="S80" t="str">
        <f>IF(E80="","",IFERROR(INDEX(tblProductos[STOCK_ACTUAL],MATCH(E80,tblProductos[ITEM],0)),""))</f>
        <v/>
      </c>
    </row>
    <row r="81" spans="1:19" x14ac:dyDescent="0.3">
      <c r="A81" s="40"/>
      <c r="B81" s="14" t="str">
        <f t="shared" si="5"/>
        <v/>
      </c>
      <c r="C81" s="14" t="str">
        <f>IF(D81="","",IFERROR(INDEX(tblClientes[ID],MATCH(D81,tblClientes[NOMBRE],0)),""))</f>
        <v/>
      </c>
      <c r="D81" s="14"/>
      <c r="E81" s="14"/>
      <c r="F81" s="14" t="str">
        <f>IF(E81="","",IFERROR(INDEX(tblProductos[CATEGORIA],MATCH(E81,tblProductos[ITEM],0)),""))</f>
        <v/>
      </c>
      <c r="G81" s="15"/>
      <c r="H81" s="16"/>
      <c r="I81" s="16" t="str">
        <f>IF(E81="","",IFERROR(INDEX(tblProductos[PRECIO_VENTA],MATCH(E81,tblProductos[ITEM],0)),""))</f>
        <v/>
      </c>
      <c r="J81" s="16" t="str">
        <f t="shared" si="6"/>
        <v/>
      </c>
      <c r="K81" s="16" t="str">
        <f t="shared" si="7"/>
        <v/>
      </c>
      <c r="L81" s="16" t="str">
        <f>IF(E81="","",IFERROR(INDEX(tblProductos[COSTO TOTAL],MATCH(E81,tblProductos[ITEM],0)),""))</f>
        <v/>
      </c>
      <c r="M81" s="16" t="str">
        <f t="shared" si="8"/>
        <v/>
      </c>
      <c r="N81" s="16" t="str">
        <f t="shared" si="9"/>
        <v/>
      </c>
      <c r="O81" s="14" t="s">
        <v>34</v>
      </c>
      <c r="P81" s="14" t="s">
        <v>35</v>
      </c>
      <c r="Q81" s="14" t="s">
        <v>36</v>
      </c>
      <c r="R81" s="14"/>
      <c r="S81" t="str">
        <f>IF(E81="","",IFERROR(INDEX(tblProductos[STOCK_ACTUAL],MATCH(E81,tblProductos[ITEM],0)),""))</f>
        <v/>
      </c>
    </row>
    <row r="82" spans="1:19" x14ac:dyDescent="0.3">
      <c r="A82" s="40"/>
      <c r="B82" s="14" t="str">
        <f t="shared" si="5"/>
        <v/>
      </c>
      <c r="C82" s="14" t="str">
        <f>IF(D82="","",IFERROR(INDEX(tblClientes[ID],MATCH(D82,tblClientes[NOMBRE],0)),""))</f>
        <v/>
      </c>
      <c r="D82" s="14"/>
      <c r="E82" s="14"/>
      <c r="F82" s="14" t="str">
        <f>IF(E82="","",IFERROR(INDEX(tblProductos[CATEGORIA],MATCH(E82,tblProductos[ITEM],0)),""))</f>
        <v/>
      </c>
      <c r="G82" s="15"/>
      <c r="H82" s="16"/>
      <c r="I82" s="16" t="str">
        <f>IF(E82="","",IFERROR(INDEX(tblProductos[PRECIO_VENTA],MATCH(E82,tblProductos[ITEM],0)),""))</f>
        <v/>
      </c>
      <c r="J82" s="16" t="str">
        <f t="shared" si="6"/>
        <v/>
      </c>
      <c r="K82" s="16" t="str">
        <f t="shared" si="7"/>
        <v/>
      </c>
      <c r="L82" s="16" t="str">
        <f>IF(E82="","",IFERROR(INDEX(tblProductos[COSTO TOTAL],MATCH(E82,tblProductos[ITEM],0)),""))</f>
        <v/>
      </c>
      <c r="M82" s="16" t="str">
        <f t="shared" si="8"/>
        <v/>
      </c>
      <c r="N82" s="16" t="str">
        <f t="shared" si="9"/>
        <v/>
      </c>
      <c r="O82" s="14" t="s">
        <v>34</v>
      </c>
      <c r="P82" s="14" t="s">
        <v>35</v>
      </c>
      <c r="Q82" s="14" t="s">
        <v>36</v>
      </c>
      <c r="R82" s="14"/>
      <c r="S82" t="str">
        <f>IF(E82="","",IFERROR(INDEX(tblProductos[STOCK_ACTUAL],MATCH(E82,tblProductos[ITEM],0)),""))</f>
        <v/>
      </c>
    </row>
    <row r="83" spans="1:19" x14ac:dyDescent="0.3">
      <c r="A83" s="40"/>
      <c r="B83" s="14" t="str">
        <f t="shared" si="5"/>
        <v/>
      </c>
      <c r="C83" s="14" t="str">
        <f>IF(D83="","",IFERROR(INDEX(tblClientes[ID],MATCH(D83,tblClientes[NOMBRE],0)),""))</f>
        <v/>
      </c>
      <c r="D83" s="14"/>
      <c r="E83" s="14"/>
      <c r="F83" s="14" t="str">
        <f>IF(E83="","",IFERROR(INDEX(tblProductos[CATEGORIA],MATCH(E83,tblProductos[ITEM],0)),""))</f>
        <v/>
      </c>
      <c r="G83" s="15"/>
      <c r="H83" s="16"/>
      <c r="I83" s="16" t="str">
        <f>IF(E83="","",IFERROR(INDEX(tblProductos[PRECIO_VENTA],MATCH(E83,tblProductos[ITEM],0)),""))</f>
        <v/>
      </c>
      <c r="J83" s="16" t="str">
        <f t="shared" si="6"/>
        <v/>
      </c>
      <c r="K83" s="16" t="str">
        <f t="shared" si="7"/>
        <v/>
      </c>
      <c r="L83" s="16" t="str">
        <f>IF(E83="","",IFERROR(INDEX(tblProductos[COSTO TOTAL],MATCH(E83,tblProductos[ITEM],0)),""))</f>
        <v/>
      </c>
      <c r="M83" s="16" t="str">
        <f t="shared" si="8"/>
        <v/>
      </c>
      <c r="N83" s="16" t="str">
        <f t="shared" si="9"/>
        <v/>
      </c>
      <c r="O83" s="14" t="s">
        <v>34</v>
      </c>
      <c r="P83" s="14" t="s">
        <v>35</v>
      </c>
      <c r="Q83" s="14" t="s">
        <v>36</v>
      </c>
      <c r="R83" s="14"/>
      <c r="S83" t="str">
        <f>IF(E83="","",IFERROR(INDEX(tblProductos[STOCK_ACTUAL],MATCH(E83,tblProductos[ITEM],0)),""))</f>
        <v/>
      </c>
    </row>
    <row r="84" spans="1:19" x14ac:dyDescent="0.3">
      <c r="A84" s="40"/>
      <c r="B84" s="14" t="str">
        <f t="shared" si="5"/>
        <v/>
      </c>
      <c r="C84" s="14" t="str">
        <f>IF(D84="","",IFERROR(INDEX(tblClientes[ID],MATCH(D84,tblClientes[NOMBRE],0)),""))</f>
        <v/>
      </c>
      <c r="D84" s="14"/>
      <c r="E84" s="14"/>
      <c r="F84" s="14" t="str">
        <f>IF(E84="","",IFERROR(INDEX(tblProductos[CATEGORIA],MATCH(E84,tblProductos[ITEM],0)),""))</f>
        <v/>
      </c>
      <c r="G84" s="15"/>
      <c r="H84" s="16"/>
      <c r="I84" s="16" t="str">
        <f>IF(E84="","",IFERROR(INDEX(tblProductos[PRECIO_VENTA],MATCH(E84,tblProductos[ITEM],0)),""))</f>
        <v/>
      </c>
      <c r="J84" s="16" t="str">
        <f t="shared" si="6"/>
        <v/>
      </c>
      <c r="K84" s="16" t="str">
        <f t="shared" si="7"/>
        <v/>
      </c>
      <c r="L84" s="16" t="str">
        <f>IF(E84="","",IFERROR(INDEX(tblProductos[COSTO TOTAL],MATCH(E84,tblProductos[ITEM],0)),""))</f>
        <v/>
      </c>
      <c r="M84" s="16" t="str">
        <f t="shared" si="8"/>
        <v/>
      </c>
      <c r="N84" s="16" t="str">
        <f t="shared" si="9"/>
        <v/>
      </c>
      <c r="O84" s="14" t="s">
        <v>34</v>
      </c>
      <c r="P84" s="14" t="s">
        <v>35</v>
      </c>
      <c r="Q84" s="14" t="s">
        <v>36</v>
      </c>
      <c r="R84" s="14"/>
      <c r="S84" t="str">
        <f>IF(E84="","",IFERROR(INDEX(tblProductos[STOCK_ACTUAL],MATCH(E84,tblProductos[ITEM],0)),""))</f>
        <v/>
      </c>
    </row>
    <row r="85" spans="1:19" x14ac:dyDescent="0.3">
      <c r="A85" s="40"/>
      <c r="B85" s="14" t="str">
        <f t="shared" si="5"/>
        <v/>
      </c>
      <c r="C85" s="14" t="str">
        <f>IF(D85="","",IFERROR(INDEX(tblClientes[ID],MATCH(D85,tblClientes[NOMBRE],0)),""))</f>
        <v/>
      </c>
      <c r="D85" s="14"/>
      <c r="E85" s="14"/>
      <c r="F85" s="14" t="str">
        <f>IF(E85="","",IFERROR(INDEX(tblProductos[CATEGORIA],MATCH(E85,tblProductos[ITEM],0)),""))</f>
        <v/>
      </c>
      <c r="G85" s="15"/>
      <c r="H85" s="16"/>
      <c r="I85" s="16" t="str">
        <f>IF(E85="","",IFERROR(INDEX(tblProductos[PRECIO_VENTA],MATCH(E85,tblProductos[ITEM],0)),""))</f>
        <v/>
      </c>
      <c r="J85" s="16" t="str">
        <f t="shared" si="6"/>
        <v/>
      </c>
      <c r="K85" s="16" t="str">
        <f t="shared" si="7"/>
        <v/>
      </c>
      <c r="L85" s="16" t="str">
        <f>IF(E85="","",IFERROR(INDEX(tblProductos[COSTO TOTAL],MATCH(E85,tblProductos[ITEM],0)),""))</f>
        <v/>
      </c>
      <c r="M85" s="16" t="str">
        <f t="shared" si="8"/>
        <v/>
      </c>
      <c r="N85" s="16" t="str">
        <f t="shared" si="9"/>
        <v/>
      </c>
      <c r="O85" s="14" t="s">
        <v>34</v>
      </c>
      <c r="P85" s="14" t="s">
        <v>35</v>
      </c>
      <c r="Q85" s="14" t="s">
        <v>36</v>
      </c>
      <c r="R85" s="14"/>
      <c r="S85" t="str">
        <f>IF(E85="","",IFERROR(INDEX(tblProductos[STOCK_ACTUAL],MATCH(E85,tblProductos[ITEM],0)),""))</f>
        <v/>
      </c>
    </row>
    <row r="86" spans="1:19" x14ac:dyDescent="0.3">
      <c r="A86" s="40"/>
      <c r="B86" s="14" t="str">
        <f t="shared" si="5"/>
        <v/>
      </c>
      <c r="C86" s="14" t="str">
        <f>IF(D86="","",IFERROR(INDEX(tblClientes[ID],MATCH(D86,tblClientes[NOMBRE],0)),""))</f>
        <v/>
      </c>
      <c r="D86" s="14"/>
      <c r="E86" s="14"/>
      <c r="F86" s="14" t="str">
        <f>IF(E86="","",IFERROR(INDEX(tblProductos[CATEGORIA],MATCH(E86,tblProductos[ITEM],0)),""))</f>
        <v/>
      </c>
      <c r="G86" s="15"/>
      <c r="H86" s="16"/>
      <c r="I86" s="16" t="str">
        <f>IF(E86="","",IFERROR(INDEX(tblProductos[PRECIO_VENTA],MATCH(E86,tblProductos[ITEM],0)),""))</f>
        <v/>
      </c>
      <c r="J86" s="16" t="str">
        <f t="shared" si="6"/>
        <v/>
      </c>
      <c r="K86" s="16" t="str">
        <f t="shared" si="7"/>
        <v/>
      </c>
      <c r="L86" s="16" t="str">
        <f>IF(E86="","",IFERROR(INDEX(tblProductos[COSTO TOTAL],MATCH(E86,tblProductos[ITEM],0)),""))</f>
        <v/>
      </c>
      <c r="M86" s="16" t="str">
        <f t="shared" si="8"/>
        <v/>
      </c>
      <c r="N86" s="16" t="str">
        <f t="shared" si="9"/>
        <v/>
      </c>
      <c r="O86" s="14" t="s">
        <v>34</v>
      </c>
      <c r="P86" s="14" t="s">
        <v>35</v>
      </c>
      <c r="Q86" s="14" t="s">
        <v>36</v>
      </c>
      <c r="R86" s="14"/>
      <c r="S86" t="str">
        <f>IF(E86="","",IFERROR(INDEX(tblProductos[STOCK_ACTUAL],MATCH(E86,tblProductos[ITEM],0)),""))</f>
        <v/>
      </c>
    </row>
    <row r="87" spans="1:19" x14ac:dyDescent="0.3">
      <c r="A87" s="40"/>
      <c r="B87" s="14" t="str">
        <f t="shared" si="5"/>
        <v/>
      </c>
      <c r="C87" s="14" t="str">
        <f>IF(D87="","",IFERROR(INDEX(tblClientes[ID],MATCH(D87,tblClientes[NOMBRE],0)),""))</f>
        <v/>
      </c>
      <c r="D87" s="14"/>
      <c r="E87" s="14"/>
      <c r="F87" s="14" t="str">
        <f>IF(E87="","",IFERROR(INDEX(tblProductos[CATEGORIA],MATCH(E87,tblProductos[ITEM],0)),""))</f>
        <v/>
      </c>
      <c r="G87" s="15"/>
      <c r="H87" s="16"/>
      <c r="I87" s="16" t="str">
        <f>IF(E87="","",IFERROR(INDEX(tblProductos[PRECIO_VENTA],MATCH(E87,tblProductos[ITEM],0)),""))</f>
        <v/>
      </c>
      <c r="J87" s="16" t="str">
        <f t="shared" si="6"/>
        <v/>
      </c>
      <c r="K87" s="16" t="str">
        <f t="shared" si="7"/>
        <v/>
      </c>
      <c r="L87" s="16" t="str">
        <f>IF(E87="","",IFERROR(INDEX(tblProductos[COSTO TOTAL],MATCH(E87,tblProductos[ITEM],0)),""))</f>
        <v/>
      </c>
      <c r="M87" s="16" t="str">
        <f t="shared" si="8"/>
        <v/>
      </c>
      <c r="N87" s="16" t="str">
        <f t="shared" si="9"/>
        <v/>
      </c>
      <c r="O87" s="14" t="s">
        <v>34</v>
      </c>
      <c r="P87" s="14" t="s">
        <v>35</v>
      </c>
      <c r="Q87" s="14" t="s">
        <v>36</v>
      </c>
      <c r="R87" s="14"/>
      <c r="S87" t="str">
        <f>IF(E87="","",IFERROR(INDEX(tblProductos[STOCK_ACTUAL],MATCH(E87,tblProductos[ITEM],0)),""))</f>
        <v/>
      </c>
    </row>
    <row r="88" spans="1:19" x14ac:dyDescent="0.3">
      <c r="A88" s="40"/>
      <c r="B88" s="14" t="str">
        <f t="shared" si="5"/>
        <v/>
      </c>
      <c r="C88" s="14" t="str">
        <f>IF(D88="","",IFERROR(INDEX(tblClientes[ID],MATCH(D88,tblClientes[NOMBRE],0)),""))</f>
        <v/>
      </c>
      <c r="D88" s="14"/>
      <c r="E88" s="14"/>
      <c r="F88" s="14" t="str">
        <f>IF(E88="","",IFERROR(INDEX(tblProductos[CATEGORIA],MATCH(E88,tblProductos[ITEM],0)),""))</f>
        <v/>
      </c>
      <c r="G88" s="15"/>
      <c r="H88" s="16"/>
      <c r="I88" s="16" t="str">
        <f>IF(E88="","",IFERROR(INDEX(tblProductos[PRECIO_VENTA],MATCH(E88,tblProductos[ITEM],0)),""))</f>
        <v/>
      </c>
      <c r="J88" s="16" t="str">
        <f t="shared" si="6"/>
        <v/>
      </c>
      <c r="K88" s="16" t="str">
        <f t="shared" si="7"/>
        <v/>
      </c>
      <c r="L88" s="16" t="str">
        <f>IF(E88="","",IFERROR(INDEX(tblProductos[COSTO TOTAL],MATCH(E88,tblProductos[ITEM],0)),""))</f>
        <v/>
      </c>
      <c r="M88" s="16" t="str">
        <f t="shared" si="8"/>
        <v/>
      </c>
      <c r="N88" s="16" t="str">
        <f t="shared" si="9"/>
        <v/>
      </c>
      <c r="O88" s="14" t="s">
        <v>34</v>
      </c>
      <c r="P88" s="14" t="s">
        <v>35</v>
      </c>
      <c r="Q88" s="14" t="s">
        <v>36</v>
      </c>
      <c r="R88" s="14"/>
      <c r="S88" t="str">
        <f>IF(E88="","",IFERROR(INDEX(tblProductos[STOCK_ACTUAL],MATCH(E88,tblProductos[ITEM],0)),""))</f>
        <v/>
      </c>
    </row>
    <row r="89" spans="1:19" x14ac:dyDescent="0.3">
      <c r="A89" s="40"/>
      <c r="B89" s="14" t="str">
        <f t="shared" si="5"/>
        <v/>
      </c>
      <c r="C89" s="14" t="str">
        <f>IF(D89="","",IFERROR(INDEX(tblClientes[ID],MATCH(D89,tblClientes[NOMBRE],0)),""))</f>
        <v/>
      </c>
      <c r="D89" s="14"/>
      <c r="E89" s="14"/>
      <c r="F89" s="14" t="str">
        <f>IF(E89="","",IFERROR(INDEX(tblProductos[CATEGORIA],MATCH(E89,tblProductos[ITEM],0)),""))</f>
        <v/>
      </c>
      <c r="G89" s="15"/>
      <c r="H89" s="16"/>
      <c r="I89" s="16" t="str">
        <f>IF(E89="","",IFERROR(INDEX(tblProductos[PRECIO_VENTA],MATCH(E89,tblProductos[ITEM],0)),""))</f>
        <v/>
      </c>
      <c r="J89" s="16" t="str">
        <f t="shared" si="6"/>
        <v/>
      </c>
      <c r="K89" s="16" t="str">
        <f t="shared" si="7"/>
        <v/>
      </c>
      <c r="L89" s="16" t="str">
        <f>IF(E89="","",IFERROR(INDEX(tblProductos[COSTO TOTAL],MATCH(E89,tblProductos[ITEM],0)),""))</f>
        <v/>
      </c>
      <c r="M89" s="16" t="str">
        <f t="shared" si="8"/>
        <v/>
      </c>
      <c r="N89" s="16" t="str">
        <f t="shared" si="9"/>
        <v/>
      </c>
      <c r="O89" s="14" t="s">
        <v>34</v>
      </c>
      <c r="P89" s="14" t="s">
        <v>35</v>
      </c>
      <c r="Q89" s="14" t="s">
        <v>36</v>
      </c>
      <c r="R89" s="14"/>
      <c r="S89" t="str">
        <f>IF(E89="","",IFERROR(INDEX(tblProductos[STOCK_ACTUAL],MATCH(E89,tblProductos[ITEM],0)),""))</f>
        <v/>
      </c>
    </row>
    <row r="90" spans="1:19" x14ac:dyDescent="0.3">
      <c r="A90" s="40"/>
      <c r="B90" s="14" t="str">
        <f t="shared" si="5"/>
        <v/>
      </c>
      <c r="C90" s="14" t="str">
        <f>IF(D90="","",IFERROR(INDEX(tblClientes[ID],MATCH(D90,tblClientes[NOMBRE],0)),""))</f>
        <v/>
      </c>
      <c r="D90" s="14"/>
      <c r="E90" s="14"/>
      <c r="F90" s="14" t="str">
        <f>IF(E90="","",IFERROR(INDEX(tblProductos[CATEGORIA],MATCH(E90,tblProductos[ITEM],0)),""))</f>
        <v/>
      </c>
      <c r="G90" s="15"/>
      <c r="H90" s="16"/>
      <c r="I90" s="16" t="str">
        <f>IF(E90="","",IFERROR(INDEX(tblProductos[PRECIO_VENTA],MATCH(E90,tblProductos[ITEM],0)),""))</f>
        <v/>
      </c>
      <c r="J90" s="16" t="str">
        <f t="shared" si="6"/>
        <v/>
      </c>
      <c r="K90" s="16" t="str">
        <f t="shared" si="7"/>
        <v/>
      </c>
      <c r="L90" s="16" t="str">
        <f>IF(E90="","",IFERROR(INDEX(tblProductos[COSTO TOTAL],MATCH(E90,tblProductos[ITEM],0)),""))</f>
        <v/>
      </c>
      <c r="M90" s="16" t="str">
        <f t="shared" si="8"/>
        <v/>
      </c>
      <c r="N90" s="16" t="str">
        <f t="shared" si="9"/>
        <v/>
      </c>
      <c r="O90" s="14" t="s">
        <v>34</v>
      </c>
      <c r="P90" s="14" t="s">
        <v>35</v>
      </c>
      <c r="Q90" s="14" t="s">
        <v>36</v>
      </c>
      <c r="R90" s="14"/>
      <c r="S90" t="str">
        <f>IF(E90="","",IFERROR(INDEX(tblProductos[STOCK_ACTUAL],MATCH(E90,tblProductos[ITEM],0)),""))</f>
        <v/>
      </c>
    </row>
    <row r="91" spans="1:19" x14ac:dyDescent="0.3">
      <c r="A91" s="40"/>
      <c r="B91" s="14" t="str">
        <f t="shared" si="5"/>
        <v/>
      </c>
      <c r="C91" s="14" t="str">
        <f>IF(D91="","",IFERROR(INDEX(tblClientes[ID],MATCH(D91,tblClientes[NOMBRE],0)),""))</f>
        <v/>
      </c>
      <c r="D91" s="14"/>
      <c r="E91" s="14"/>
      <c r="F91" s="14" t="str">
        <f>IF(E91="","",IFERROR(INDEX(tblProductos[CATEGORIA],MATCH(E91,tblProductos[ITEM],0)),""))</f>
        <v/>
      </c>
      <c r="G91" s="15"/>
      <c r="H91" s="16"/>
      <c r="I91" s="16" t="str">
        <f>IF(E91="","",IFERROR(INDEX(tblProductos[PRECIO_VENTA],MATCH(E91,tblProductos[ITEM],0)),""))</f>
        <v/>
      </c>
      <c r="J91" s="16" t="str">
        <f t="shared" si="6"/>
        <v/>
      </c>
      <c r="K91" s="16" t="str">
        <f t="shared" si="7"/>
        <v/>
      </c>
      <c r="L91" s="16" t="str">
        <f>IF(E91="","",IFERROR(INDEX(tblProductos[COSTO TOTAL],MATCH(E91,tblProductos[ITEM],0)),""))</f>
        <v/>
      </c>
      <c r="M91" s="16" t="str">
        <f t="shared" si="8"/>
        <v/>
      </c>
      <c r="N91" s="16" t="str">
        <f t="shared" si="9"/>
        <v/>
      </c>
      <c r="O91" s="14" t="s">
        <v>34</v>
      </c>
      <c r="P91" s="14" t="s">
        <v>35</v>
      </c>
      <c r="Q91" s="14" t="s">
        <v>36</v>
      </c>
      <c r="R91" s="14"/>
      <c r="S91" t="str">
        <f>IF(E91="","",IFERROR(INDEX(tblProductos[STOCK_ACTUAL],MATCH(E91,tblProductos[ITEM],0)),""))</f>
        <v/>
      </c>
    </row>
    <row r="92" spans="1:19" x14ac:dyDescent="0.3">
      <c r="A92" s="40"/>
      <c r="B92" s="14" t="str">
        <f t="shared" si="5"/>
        <v/>
      </c>
      <c r="C92" s="14" t="str">
        <f>IF(D92="","",IFERROR(INDEX(tblClientes[ID],MATCH(D92,tblClientes[NOMBRE],0)),""))</f>
        <v/>
      </c>
      <c r="D92" s="14"/>
      <c r="E92" s="14"/>
      <c r="F92" s="14" t="str">
        <f>IF(E92="","",IFERROR(INDEX(tblProductos[CATEGORIA],MATCH(E92,tblProductos[ITEM],0)),""))</f>
        <v/>
      </c>
      <c r="G92" s="15"/>
      <c r="H92" s="16"/>
      <c r="I92" s="16" t="str">
        <f>IF(E92="","",IFERROR(INDEX(tblProductos[PRECIO_VENTA],MATCH(E92,tblProductos[ITEM],0)),""))</f>
        <v/>
      </c>
      <c r="J92" s="16" t="str">
        <f t="shared" si="6"/>
        <v/>
      </c>
      <c r="K92" s="16" t="str">
        <f t="shared" si="7"/>
        <v/>
      </c>
      <c r="L92" s="16" t="str">
        <f>IF(E92="","",IFERROR(INDEX(tblProductos[COSTO TOTAL],MATCH(E92,tblProductos[ITEM],0)),""))</f>
        <v/>
      </c>
      <c r="M92" s="16" t="str">
        <f t="shared" si="8"/>
        <v/>
      </c>
      <c r="N92" s="16" t="str">
        <f t="shared" si="9"/>
        <v/>
      </c>
      <c r="O92" s="14" t="s">
        <v>34</v>
      </c>
      <c r="P92" s="14" t="s">
        <v>35</v>
      </c>
      <c r="Q92" s="14" t="s">
        <v>36</v>
      </c>
      <c r="R92" s="14"/>
      <c r="S92" t="str">
        <f>IF(E92="","",IFERROR(INDEX(tblProductos[STOCK_ACTUAL],MATCH(E92,tblProductos[ITEM],0)),""))</f>
        <v/>
      </c>
    </row>
    <row r="93" spans="1:19" x14ac:dyDescent="0.3">
      <c r="A93" s="40"/>
      <c r="B93" s="14" t="str">
        <f t="shared" si="5"/>
        <v/>
      </c>
      <c r="C93" s="14" t="str">
        <f>IF(D93="","",IFERROR(INDEX(tblClientes[ID],MATCH(D93,tblClientes[NOMBRE],0)),""))</f>
        <v/>
      </c>
      <c r="D93" s="14"/>
      <c r="E93" s="14"/>
      <c r="F93" s="14" t="str">
        <f>IF(E93="","",IFERROR(INDEX(tblProductos[CATEGORIA],MATCH(E93,tblProductos[ITEM],0)),""))</f>
        <v/>
      </c>
      <c r="G93" s="15"/>
      <c r="H93" s="16"/>
      <c r="I93" s="16" t="str">
        <f>IF(E93="","",IFERROR(INDEX(tblProductos[PRECIO_VENTA],MATCH(E93,tblProductos[ITEM],0)),""))</f>
        <v/>
      </c>
      <c r="J93" s="16" t="str">
        <f t="shared" si="6"/>
        <v/>
      </c>
      <c r="K93" s="16" t="str">
        <f t="shared" si="7"/>
        <v/>
      </c>
      <c r="L93" s="16" t="str">
        <f>IF(E93="","",IFERROR(INDEX(tblProductos[COSTO TOTAL],MATCH(E93,tblProductos[ITEM],0)),""))</f>
        <v/>
      </c>
      <c r="M93" s="16" t="str">
        <f t="shared" si="8"/>
        <v/>
      </c>
      <c r="N93" s="16" t="str">
        <f t="shared" si="9"/>
        <v/>
      </c>
      <c r="O93" s="14" t="s">
        <v>34</v>
      </c>
      <c r="P93" s="14" t="s">
        <v>35</v>
      </c>
      <c r="Q93" s="14" t="s">
        <v>36</v>
      </c>
      <c r="R93" s="14"/>
      <c r="S93" t="str">
        <f>IF(E93="","",IFERROR(INDEX(tblProductos[STOCK_ACTUAL],MATCH(E93,tblProductos[ITEM],0)),""))</f>
        <v/>
      </c>
    </row>
    <row r="94" spans="1:19" x14ac:dyDescent="0.3">
      <c r="A94" s="40"/>
      <c r="B94" s="14" t="str">
        <f t="shared" si="5"/>
        <v/>
      </c>
      <c r="C94" s="14" t="str">
        <f>IF(D94="","",IFERROR(INDEX(tblClientes[ID],MATCH(D94,tblClientes[NOMBRE],0)),""))</f>
        <v/>
      </c>
      <c r="D94" s="14"/>
      <c r="E94" s="14"/>
      <c r="F94" s="14" t="str">
        <f>IF(E94="","",IFERROR(INDEX(tblProductos[CATEGORIA],MATCH(E94,tblProductos[ITEM],0)),""))</f>
        <v/>
      </c>
      <c r="G94" s="15"/>
      <c r="H94" s="16"/>
      <c r="I94" s="16" t="str">
        <f>IF(E94="","",IFERROR(INDEX(tblProductos[PRECIO_VENTA],MATCH(E94,tblProductos[ITEM],0)),""))</f>
        <v/>
      </c>
      <c r="J94" s="16" t="str">
        <f t="shared" si="6"/>
        <v/>
      </c>
      <c r="K94" s="16" t="str">
        <f t="shared" si="7"/>
        <v/>
      </c>
      <c r="L94" s="16" t="str">
        <f>IF(E94="","",IFERROR(INDEX(tblProductos[COSTO TOTAL],MATCH(E94,tblProductos[ITEM],0)),""))</f>
        <v/>
      </c>
      <c r="M94" s="16" t="str">
        <f t="shared" si="8"/>
        <v/>
      </c>
      <c r="N94" s="16" t="str">
        <f t="shared" si="9"/>
        <v/>
      </c>
      <c r="O94" s="14" t="s">
        <v>34</v>
      </c>
      <c r="P94" s="14" t="s">
        <v>35</v>
      </c>
      <c r="Q94" s="14" t="s">
        <v>36</v>
      </c>
      <c r="R94" s="14"/>
      <c r="S94" t="str">
        <f>IF(E94="","",IFERROR(INDEX(tblProductos[STOCK_ACTUAL],MATCH(E94,tblProductos[ITEM],0)),""))</f>
        <v/>
      </c>
    </row>
    <row r="95" spans="1:19" x14ac:dyDescent="0.3">
      <c r="A95" s="40"/>
      <c r="B95" s="14" t="str">
        <f t="shared" si="5"/>
        <v/>
      </c>
      <c r="C95" s="14" t="str">
        <f>IF(D95="","",IFERROR(INDEX(tblClientes[ID],MATCH(D95,tblClientes[NOMBRE],0)),""))</f>
        <v/>
      </c>
      <c r="D95" s="14"/>
      <c r="E95" s="14"/>
      <c r="F95" s="14" t="str">
        <f>IF(E95="","",IFERROR(INDEX(tblProductos[CATEGORIA],MATCH(E95,tblProductos[ITEM],0)),""))</f>
        <v/>
      </c>
      <c r="G95" s="15"/>
      <c r="H95" s="16"/>
      <c r="I95" s="16" t="str">
        <f>IF(E95="","",IFERROR(INDEX(tblProductos[PRECIO_VENTA],MATCH(E95,tblProductos[ITEM],0)),""))</f>
        <v/>
      </c>
      <c r="J95" s="16" t="str">
        <f t="shared" si="6"/>
        <v/>
      </c>
      <c r="K95" s="16" t="str">
        <f t="shared" si="7"/>
        <v/>
      </c>
      <c r="L95" s="16" t="str">
        <f>IF(E95="","",IFERROR(INDEX(tblProductos[COSTO TOTAL],MATCH(E95,tblProductos[ITEM],0)),""))</f>
        <v/>
      </c>
      <c r="M95" s="16" t="str">
        <f t="shared" si="8"/>
        <v/>
      </c>
      <c r="N95" s="16" t="str">
        <f t="shared" si="9"/>
        <v/>
      </c>
      <c r="O95" s="14" t="s">
        <v>34</v>
      </c>
      <c r="P95" s="14" t="s">
        <v>35</v>
      </c>
      <c r="Q95" s="14" t="s">
        <v>36</v>
      </c>
      <c r="R95" s="14"/>
      <c r="S95" t="str">
        <f>IF(E95="","",IFERROR(INDEX(tblProductos[STOCK_ACTUAL],MATCH(E95,tblProductos[ITEM],0)),""))</f>
        <v/>
      </c>
    </row>
    <row r="96" spans="1:19" x14ac:dyDescent="0.3">
      <c r="A96" s="40"/>
      <c r="B96" s="14" t="str">
        <f t="shared" si="5"/>
        <v/>
      </c>
      <c r="C96" s="14" t="str">
        <f>IF(D96="","",IFERROR(INDEX(tblClientes[ID],MATCH(D96,tblClientes[NOMBRE],0)),""))</f>
        <v/>
      </c>
      <c r="D96" s="14"/>
      <c r="E96" s="14"/>
      <c r="F96" s="14" t="str">
        <f>IF(E96="","",IFERROR(INDEX(tblProductos[CATEGORIA],MATCH(E96,tblProductos[ITEM],0)),""))</f>
        <v/>
      </c>
      <c r="G96" s="15"/>
      <c r="H96" s="16"/>
      <c r="I96" s="16" t="str">
        <f>IF(E96="","",IFERROR(INDEX(tblProductos[PRECIO_VENTA],MATCH(E96,tblProductos[ITEM],0)),""))</f>
        <v/>
      </c>
      <c r="J96" s="16" t="str">
        <f t="shared" si="6"/>
        <v/>
      </c>
      <c r="K96" s="16" t="str">
        <f t="shared" si="7"/>
        <v/>
      </c>
      <c r="L96" s="16" t="str">
        <f>IF(E96="","",IFERROR(INDEX(tblProductos[COSTO TOTAL],MATCH(E96,tblProductos[ITEM],0)),""))</f>
        <v/>
      </c>
      <c r="M96" s="16" t="str">
        <f t="shared" si="8"/>
        <v/>
      </c>
      <c r="N96" s="16" t="str">
        <f t="shared" si="9"/>
        <v/>
      </c>
      <c r="O96" s="14" t="s">
        <v>34</v>
      </c>
      <c r="P96" s="14" t="s">
        <v>35</v>
      </c>
      <c r="Q96" s="14" t="s">
        <v>36</v>
      </c>
      <c r="R96" s="14"/>
      <c r="S96" t="str">
        <f>IF(E96="","",IFERROR(INDEX(tblProductos[STOCK_ACTUAL],MATCH(E96,tblProductos[ITEM],0)),""))</f>
        <v/>
      </c>
    </row>
    <row r="97" spans="1:19" x14ac:dyDescent="0.3">
      <c r="A97" s="40"/>
      <c r="B97" s="14" t="str">
        <f t="shared" si="5"/>
        <v/>
      </c>
      <c r="C97" s="14" t="str">
        <f>IF(D97="","",IFERROR(INDEX(tblClientes[ID],MATCH(D97,tblClientes[NOMBRE],0)),""))</f>
        <v/>
      </c>
      <c r="D97" s="14"/>
      <c r="E97" s="14"/>
      <c r="F97" s="14" t="str">
        <f>IF(E97="","",IFERROR(INDEX(tblProductos[CATEGORIA],MATCH(E97,tblProductos[ITEM],0)),""))</f>
        <v/>
      </c>
      <c r="G97" s="15"/>
      <c r="H97" s="16"/>
      <c r="I97" s="16" t="str">
        <f>IF(E97="","",IFERROR(INDEX(tblProductos[PRECIO_VENTA],MATCH(E97,tblProductos[ITEM],0)),""))</f>
        <v/>
      </c>
      <c r="J97" s="16" t="str">
        <f t="shared" si="6"/>
        <v/>
      </c>
      <c r="K97" s="16" t="str">
        <f t="shared" si="7"/>
        <v/>
      </c>
      <c r="L97" s="16" t="str">
        <f>IF(E97="","",IFERROR(INDEX(tblProductos[COSTO TOTAL],MATCH(E97,tblProductos[ITEM],0)),""))</f>
        <v/>
      </c>
      <c r="M97" s="16" t="str">
        <f t="shared" si="8"/>
        <v/>
      </c>
      <c r="N97" s="16" t="str">
        <f t="shared" si="9"/>
        <v/>
      </c>
      <c r="O97" s="14" t="s">
        <v>34</v>
      </c>
      <c r="P97" s="14" t="s">
        <v>35</v>
      </c>
      <c r="Q97" s="14" t="s">
        <v>36</v>
      </c>
      <c r="R97" s="14"/>
      <c r="S97" t="str">
        <f>IF(E97="","",IFERROR(INDEX(tblProductos[STOCK_ACTUAL],MATCH(E97,tblProductos[ITEM],0)),""))</f>
        <v/>
      </c>
    </row>
    <row r="98" spans="1:19" x14ac:dyDescent="0.3">
      <c r="A98" s="40"/>
      <c r="B98" s="14" t="str">
        <f t="shared" si="5"/>
        <v/>
      </c>
      <c r="C98" s="14" t="str">
        <f>IF(D98="","",IFERROR(INDEX(tblClientes[ID],MATCH(D98,tblClientes[NOMBRE],0)),""))</f>
        <v/>
      </c>
      <c r="D98" s="14"/>
      <c r="E98" s="14"/>
      <c r="F98" s="14" t="str">
        <f>IF(E98="","",IFERROR(INDEX(tblProductos[CATEGORIA],MATCH(E98,tblProductos[ITEM],0)),""))</f>
        <v/>
      </c>
      <c r="G98" s="15"/>
      <c r="H98" s="16"/>
      <c r="I98" s="16" t="str">
        <f>IF(E98="","",IFERROR(INDEX(tblProductos[PRECIO_VENTA],MATCH(E98,tblProductos[ITEM],0)),""))</f>
        <v/>
      </c>
      <c r="J98" s="16" t="str">
        <f t="shared" si="6"/>
        <v/>
      </c>
      <c r="K98" s="16" t="str">
        <f t="shared" si="7"/>
        <v/>
      </c>
      <c r="L98" s="16" t="str">
        <f>IF(E98="","",IFERROR(INDEX(tblProductos[COSTO TOTAL],MATCH(E98,tblProductos[ITEM],0)),""))</f>
        <v/>
      </c>
      <c r="M98" s="16" t="str">
        <f t="shared" si="8"/>
        <v/>
      </c>
      <c r="N98" s="16" t="str">
        <f t="shared" si="9"/>
        <v/>
      </c>
      <c r="O98" s="14" t="s">
        <v>34</v>
      </c>
      <c r="P98" s="14" t="s">
        <v>35</v>
      </c>
      <c r="Q98" s="14" t="s">
        <v>36</v>
      </c>
      <c r="R98" s="14"/>
      <c r="S98" t="str">
        <f>IF(E98="","",IFERROR(INDEX(tblProductos[STOCK_ACTUAL],MATCH(E98,tblProductos[ITEM],0)),""))</f>
        <v/>
      </c>
    </row>
    <row r="99" spans="1:19" x14ac:dyDescent="0.3">
      <c r="A99" s="40"/>
      <c r="B99" s="14" t="str">
        <f t="shared" si="5"/>
        <v/>
      </c>
      <c r="C99" s="14" t="str">
        <f>IF(D99="","",IFERROR(INDEX(tblClientes[ID],MATCH(D99,tblClientes[NOMBRE],0)),""))</f>
        <v/>
      </c>
      <c r="D99" s="14"/>
      <c r="E99" s="14"/>
      <c r="F99" s="14" t="str">
        <f>IF(E99="","",IFERROR(INDEX(tblProductos[CATEGORIA],MATCH(E99,tblProductos[ITEM],0)),""))</f>
        <v/>
      </c>
      <c r="G99" s="15"/>
      <c r="H99" s="16"/>
      <c r="I99" s="16" t="str">
        <f>IF(E99="","",IFERROR(INDEX(tblProductos[PRECIO_VENTA],MATCH(E99,tblProductos[ITEM],0)),""))</f>
        <v/>
      </c>
      <c r="J99" s="16" t="str">
        <f t="shared" si="6"/>
        <v/>
      </c>
      <c r="K99" s="16" t="str">
        <f t="shared" si="7"/>
        <v/>
      </c>
      <c r="L99" s="16" t="str">
        <f>IF(E99="","",IFERROR(INDEX(tblProductos[COSTO TOTAL],MATCH(E99,tblProductos[ITEM],0)),""))</f>
        <v/>
      </c>
      <c r="M99" s="16" t="str">
        <f t="shared" si="8"/>
        <v/>
      </c>
      <c r="N99" s="16" t="str">
        <f t="shared" si="9"/>
        <v/>
      </c>
      <c r="O99" s="14" t="s">
        <v>34</v>
      </c>
      <c r="P99" s="14" t="s">
        <v>35</v>
      </c>
      <c r="Q99" s="14" t="s">
        <v>36</v>
      </c>
      <c r="R99" s="14"/>
      <c r="S99" t="str">
        <f>IF(E99="","",IFERROR(INDEX(tblProductos[STOCK_ACTUAL],MATCH(E99,tblProductos[ITEM],0)),""))</f>
        <v/>
      </c>
    </row>
    <row r="100" spans="1:19" x14ac:dyDescent="0.3">
      <c r="A100" s="40"/>
      <c r="B100" s="14" t="str">
        <f t="shared" si="5"/>
        <v/>
      </c>
      <c r="C100" s="14" t="str">
        <f>IF(D100="","",IFERROR(INDEX(tblClientes[ID],MATCH(D100,tblClientes[NOMBRE],0)),""))</f>
        <v/>
      </c>
      <c r="D100" s="14"/>
      <c r="E100" s="14"/>
      <c r="F100" s="14" t="str">
        <f>IF(E100="","",IFERROR(INDEX(tblProductos[CATEGORIA],MATCH(E100,tblProductos[ITEM],0)),""))</f>
        <v/>
      </c>
      <c r="G100" s="15"/>
      <c r="H100" s="16"/>
      <c r="I100" s="16" t="str">
        <f>IF(E100="","",IFERROR(INDEX(tblProductos[PRECIO_VENTA],MATCH(E100,tblProductos[ITEM],0)),""))</f>
        <v/>
      </c>
      <c r="J100" s="16" t="str">
        <f t="shared" si="6"/>
        <v/>
      </c>
      <c r="K100" s="16" t="str">
        <f t="shared" si="7"/>
        <v/>
      </c>
      <c r="L100" s="16" t="str">
        <f>IF(E100="","",IFERROR(INDEX(tblProductos[COSTO TOTAL],MATCH(E100,tblProductos[ITEM],0)),""))</f>
        <v/>
      </c>
      <c r="M100" s="16" t="str">
        <f t="shared" si="8"/>
        <v/>
      </c>
      <c r="N100" s="16" t="str">
        <f t="shared" si="9"/>
        <v/>
      </c>
      <c r="O100" s="14" t="s">
        <v>34</v>
      </c>
      <c r="P100" s="14" t="s">
        <v>35</v>
      </c>
      <c r="Q100" s="14" t="s">
        <v>36</v>
      </c>
      <c r="R100" s="14"/>
      <c r="S100" t="str">
        <f>IF(E100="","",IFERROR(INDEX(tblProductos[STOCK_ACTUAL],MATCH(E100,tblProductos[ITEM],0)),""))</f>
        <v/>
      </c>
    </row>
    <row r="101" spans="1:19" x14ac:dyDescent="0.3">
      <c r="A101" s="40"/>
      <c r="B101" s="14" t="str">
        <f t="shared" si="5"/>
        <v/>
      </c>
      <c r="C101" s="14" t="str">
        <f>IF(D101="","",IFERROR(INDEX(tblClientes[ID],MATCH(D101,tblClientes[NOMBRE],0)),""))</f>
        <v/>
      </c>
      <c r="D101" s="14"/>
      <c r="E101" s="14"/>
      <c r="F101" s="14" t="str">
        <f>IF(E101="","",IFERROR(INDEX(tblProductos[CATEGORIA],MATCH(E101,tblProductos[ITEM],0)),""))</f>
        <v/>
      </c>
      <c r="G101" s="15"/>
      <c r="H101" s="16"/>
      <c r="I101" s="16" t="str">
        <f>IF(E101="","",IFERROR(INDEX(tblProductos[PRECIO_VENTA],MATCH(E101,tblProductos[ITEM],0)),""))</f>
        <v/>
      </c>
      <c r="J101" s="16" t="str">
        <f t="shared" si="6"/>
        <v/>
      </c>
      <c r="K101" s="16" t="str">
        <f t="shared" si="7"/>
        <v/>
      </c>
      <c r="L101" s="16" t="str">
        <f>IF(E101="","",IFERROR(INDEX(tblProductos[COSTO TOTAL],MATCH(E101,tblProductos[ITEM],0)),""))</f>
        <v/>
      </c>
      <c r="M101" s="16" t="str">
        <f t="shared" si="8"/>
        <v/>
      </c>
      <c r="N101" s="16" t="str">
        <f t="shared" si="9"/>
        <v/>
      </c>
      <c r="O101" s="14" t="s">
        <v>34</v>
      </c>
      <c r="P101" s="14" t="s">
        <v>35</v>
      </c>
      <c r="Q101" s="14" t="s">
        <v>36</v>
      </c>
      <c r="R101" s="14"/>
      <c r="S101" t="str">
        <f>IF(E101="","",IFERROR(INDEX(tblProductos[STOCK_ACTUAL],MATCH(E101,tblProductos[ITEM],0)),""))</f>
        <v/>
      </c>
    </row>
    <row r="102" spans="1:19" x14ac:dyDescent="0.3">
      <c r="A102" s="40"/>
      <c r="B102" s="14" t="str">
        <f t="shared" si="5"/>
        <v/>
      </c>
      <c r="C102" s="14" t="str">
        <f>IF(D102="","",IFERROR(INDEX(tblClientes[ID],MATCH(D102,tblClientes[NOMBRE],0)),""))</f>
        <v/>
      </c>
      <c r="D102" s="14"/>
      <c r="E102" s="14"/>
      <c r="F102" s="14" t="str">
        <f>IF(E102="","",IFERROR(INDEX(tblProductos[CATEGORIA],MATCH(E102,tblProductos[ITEM],0)),""))</f>
        <v/>
      </c>
      <c r="G102" s="15"/>
      <c r="H102" s="16"/>
      <c r="I102" s="16" t="str">
        <f>IF(E102="","",IFERROR(INDEX(tblProductos[PRECIO_VENTA],MATCH(E102,tblProductos[ITEM],0)),""))</f>
        <v/>
      </c>
      <c r="J102" s="16" t="str">
        <f t="shared" si="6"/>
        <v/>
      </c>
      <c r="K102" s="16" t="str">
        <f t="shared" si="7"/>
        <v/>
      </c>
      <c r="L102" s="16" t="str">
        <f>IF(E102="","",IFERROR(INDEX(tblProductos[COSTO TOTAL],MATCH(E102,tblProductos[ITEM],0)),""))</f>
        <v/>
      </c>
      <c r="M102" s="16" t="str">
        <f t="shared" si="8"/>
        <v/>
      </c>
      <c r="N102" s="16" t="str">
        <f t="shared" si="9"/>
        <v/>
      </c>
      <c r="O102" s="14" t="s">
        <v>34</v>
      </c>
      <c r="P102" s="14" t="s">
        <v>35</v>
      </c>
      <c r="Q102" s="14" t="s">
        <v>36</v>
      </c>
      <c r="R102" s="14"/>
      <c r="S102" t="str">
        <f>IF(E102="","",IFERROR(INDEX(tblProductos[STOCK_ACTUAL],MATCH(E102,tblProductos[ITEM],0)),""))</f>
        <v/>
      </c>
    </row>
    <row r="103" spans="1:19" x14ac:dyDescent="0.3">
      <c r="A103" s="40"/>
      <c r="B103" s="14" t="str">
        <f t="shared" si="5"/>
        <v/>
      </c>
      <c r="C103" s="14" t="str">
        <f>IF(D103="","",IFERROR(INDEX(tblClientes[ID],MATCH(D103,tblClientes[NOMBRE],0)),""))</f>
        <v/>
      </c>
      <c r="D103" s="14"/>
      <c r="E103" s="14"/>
      <c r="F103" s="14" t="str">
        <f>IF(E103="","",IFERROR(INDEX(tblProductos[CATEGORIA],MATCH(E103,tblProductos[ITEM],0)),""))</f>
        <v/>
      </c>
      <c r="G103" s="15"/>
      <c r="H103" s="16"/>
      <c r="I103" s="16" t="str">
        <f>IF(E103="","",IFERROR(INDEX(tblProductos[PRECIO_VENTA],MATCH(E103,tblProductos[ITEM],0)),""))</f>
        <v/>
      </c>
      <c r="J103" s="16" t="str">
        <f t="shared" si="6"/>
        <v/>
      </c>
      <c r="K103" s="16" t="str">
        <f t="shared" si="7"/>
        <v/>
      </c>
      <c r="L103" s="16" t="str">
        <f>IF(E103="","",IFERROR(INDEX(tblProductos[COSTO TOTAL],MATCH(E103,tblProductos[ITEM],0)),""))</f>
        <v/>
      </c>
      <c r="M103" s="16" t="str">
        <f t="shared" si="8"/>
        <v/>
      </c>
      <c r="N103" s="16" t="str">
        <f t="shared" si="9"/>
        <v/>
      </c>
      <c r="O103" s="14" t="s">
        <v>34</v>
      </c>
      <c r="P103" s="14" t="s">
        <v>35</v>
      </c>
      <c r="Q103" s="14" t="s">
        <v>36</v>
      </c>
      <c r="R103" s="14"/>
      <c r="S103" t="str">
        <f>IF(E103="","",IFERROR(INDEX(tblProductos[STOCK_ACTUAL],MATCH(E103,tblProductos[ITEM],0)),""))</f>
        <v/>
      </c>
    </row>
    <row r="104" spans="1:19" x14ac:dyDescent="0.3">
      <c r="A104" s="40"/>
      <c r="B104" s="14" t="str">
        <f t="shared" si="5"/>
        <v/>
      </c>
      <c r="C104" s="14" t="str">
        <f>IF(D104="","",IFERROR(INDEX(tblClientes[ID],MATCH(D104,tblClientes[NOMBRE],0)),""))</f>
        <v/>
      </c>
      <c r="D104" s="14"/>
      <c r="E104" s="14"/>
      <c r="F104" s="14" t="str">
        <f>IF(E104="","",IFERROR(INDEX(tblProductos[CATEGORIA],MATCH(E104,tblProductos[ITEM],0)),""))</f>
        <v/>
      </c>
      <c r="G104" s="15"/>
      <c r="H104" s="16"/>
      <c r="I104" s="16" t="str">
        <f>IF(E104="","",IFERROR(INDEX(tblProductos[PRECIO_VENTA],MATCH(E104,tblProductos[ITEM],0)),""))</f>
        <v/>
      </c>
      <c r="J104" s="16" t="str">
        <f t="shared" si="6"/>
        <v/>
      </c>
      <c r="K104" s="16" t="str">
        <f t="shared" si="7"/>
        <v/>
      </c>
      <c r="L104" s="16" t="str">
        <f>IF(E104="","",IFERROR(INDEX(tblProductos[COSTO TOTAL],MATCH(E104,tblProductos[ITEM],0)),""))</f>
        <v/>
      </c>
      <c r="M104" s="16" t="str">
        <f t="shared" si="8"/>
        <v/>
      </c>
      <c r="N104" s="16" t="str">
        <f t="shared" si="9"/>
        <v/>
      </c>
      <c r="O104" s="14" t="s">
        <v>34</v>
      </c>
      <c r="P104" s="14" t="s">
        <v>35</v>
      </c>
      <c r="Q104" s="14" t="s">
        <v>36</v>
      </c>
      <c r="R104" s="14"/>
      <c r="S104" t="str">
        <f>IF(E104="","",IFERROR(INDEX(tblProductos[STOCK_ACTUAL],MATCH(E104,tblProductos[ITEM],0)),""))</f>
        <v/>
      </c>
    </row>
    <row r="105" spans="1:19" x14ac:dyDescent="0.3">
      <c r="A105" s="40"/>
      <c r="B105" s="14" t="str">
        <f t="shared" si="5"/>
        <v/>
      </c>
      <c r="C105" s="14" t="str">
        <f>IF(D105="","",IFERROR(INDEX(tblClientes[ID],MATCH(D105,tblClientes[NOMBRE],0)),""))</f>
        <v/>
      </c>
      <c r="D105" s="14"/>
      <c r="E105" s="14"/>
      <c r="F105" s="14" t="str">
        <f>IF(E105="","",IFERROR(INDEX(tblProductos[CATEGORIA],MATCH(E105,tblProductos[ITEM],0)),""))</f>
        <v/>
      </c>
      <c r="G105" s="15"/>
      <c r="H105" s="16"/>
      <c r="I105" s="16" t="str">
        <f>IF(E105="","",IFERROR(INDEX(tblProductos[PRECIO_VENTA],MATCH(E105,tblProductos[ITEM],0)),""))</f>
        <v/>
      </c>
      <c r="J105" s="16" t="str">
        <f t="shared" si="6"/>
        <v/>
      </c>
      <c r="K105" s="16" t="str">
        <f t="shared" si="7"/>
        <v/>
      </c>
      <c r="L105" s="16" t="str">
        <f>IF(E105="","",IFERROR(INDEX(tblProductos[COSTO TOTAL],MATCH(E105,tblProductos[ITEM],0)),""))</f>
        <v/>
      </c>
      <c r="M105" s="16" t="str">
        <f t="shared" si="8"/>
        <v/>
      </c>
      <c r="N105" s="16" t="str">
        <f t="shared" si="9"/>
        <v/>
      </c>
      <c r="O105" s="14" t="s">
        <v>34</v>
      </c>
      <c r="P105" s="14" t="s">
        <v>35</v>
      </c>
      <c r="Q105" s="14" t="s">
        <v>36</v>
      </c>
      <c r="R105" s="14"/>
      <c r="S105" t="str">
        <f>IF(E105="","",IFERROR(INDEX(tblProductos[STOCK_ACTUAL],MATCH(E105,tblProductos[ITEM],0)),""))</f>
        <v/>
      </c>
    </row>
    <row r="106" spans="1:19" x14ac:dyDescent="0.3">
      <c r="A106" s="40"/>
      <c r="B106" s="14" t="str">
        <f t="shared" si="5"/>
        <v/>
      </c>
      <c r="C106" s="14" t="str">
        <f>IF(D106="","",IFERROR(INDEX(tblClientes[ID],MATCH(D106,tblClientes[NOMBRE],0)),""))</f>
        <v/>
      </c>
      <c r="D106" s="14"/>
      <c r="E106" s="14"/>
      <c r="F106" s="14" t="str">
        <f>IF(E106="","",IFERROR(INDEX(tblProductos[CATEGORIA],MATCH(E106,tblProductos[ITEM],0)),""))</f>
        <v/>
      </c>
      <c r="G106" s="15"/>
      <c r="H106" s="16"/>
      <c r="I106" s="16" t="str">
        <f>IF(E106="","",IFERROR(INDEX(tblProductos[PRECIO_VENTA],MATCH(E106,tblProductos[ITEM],0)),""))</f>
        <v/>
      </c>
      <c r="J106" s="16" t="str">
        <f t="shared" si="6"/>
        <v/>
      </c>
      <c r="K106" s="16" t="str">
        <f t="shared" si="7"/>
        <v/>
      </c>
      <c r="L106" s="16" t="str">
        <f>IF(E106="","",IFERROR(INDEX(tblProductos[COSTO TOTAL],MATCH(E106,tblProductos[ITEM],0)),""))</f>
        <v/>
      </c>
      <c r="M106" s="16" t="str">
        <f t="shared" si="8"/>
        <v/>
      </c>
      <c r="N106" s="16" t="str">
        <f t="shared" si="9"/>
        <v/>
      </c>
      <c r="O106" s="14" t="s">
        <v>34</v>
      </c>
      <c r="P106" s="14" t="s">
        <v>35</v>
      </c>
      <c r="Q106" s="14" t="s">
        <v>36</v>
      </c>
      <c r="R106" s="14"/>
      <c r="S106" t="str">
        <f>IF(E106="","",IFERROR(INDEX(tblProductos[STOCK_ACTUAL],MATCH(E106,tblProductos[ITEM],0)),""))</f>
        <v/>
      </c>
    </row>
    <row r="107" spans="1:19" x14ac:dyDescent="0.3">
      <c r="A107" s="40"/>
      <c r="B107" s="14" t="str">
        <f t="shared" si="5"/>
        <v/>
      </c>
      <c r="C107" s="14" t="str">
        <f>IF(D107="","",IFERROR(INDEX(tblClientes[ID],MATCH(D107,tblClientes[NOMBRE],0)),""))</f>
        <v/>
      </c>
      <c r="D107" s="14"/>
      <c r="E107" s="14"/>
      <c r="F107" s="14" t="str">
        <f>IF(E107="","",IFERROR(INDEX(tblProductos[CATEGORIA],MATCH(E107,tblProductos[ITEM],0)),""))</f>
        <v/>
      </c>
      <c r="G107" s="15"/>
      <c r="H107" s="16"/>
      <c r="I107" s="16" t="str">
        <f>IF(E107="","",IFERROR(INDEX(tblProductos[PRECIO_VENTA],MATCH(E107,tblProductos[ITEM],0)),""))</f>
        <v/>
      </c>
      <c r="J107" s="16" t="str">
        <f t="shared" si="6"/>
        <v/>
      </c>
      <c r="K107" s="16" t="str">
        <f t="shared" si="7"/>
        <v/>
      </c>
      <c r="L107" s="16" t="str">
        <f>IF(E107="","",IFERROR(INDEX(tblProductos[COSTO TOTAL],MATCH(E107,tblProductos[ITEM],0)),""))</f>
        <v/>
      </c>
      <c r="M107" s="16" t="str">
        <f t="shared" si="8"/>
        <v/>
      </c>
      <c r="N107" s="16" t="str">
        <f t="shared" si="9"/>
        <v/>
      </c>
      <c r="O107" s="14" t="s">
        <v>34</v>
      </c>
      <c r="P107" s="14" t="s">
        <v>35</v>
      </c>
      <c r="Q107" s="14" t="s">
        <v>36</v>
      </c>
      <c r="R107" s="14"/>
      <c r="S107" t="str">
        <f>IF(E107="","",IFERROR(INDEX(tblProductos[STOCK_ACTUAL],MATCH(E107,tblProductos[ITEM],0)),""))</f>
        <v/>
      </c>
    </row>
    <row r="108" spans="1:19" x14ac:dyDescent="0.3">
      <c r="A108" s="40"/>
      <c r="B108" s="14" t="str">
        <f t="shared" si="5"/>
        <v/>
      </c>
      <c r="C108" s="14" t="str">
        <f>IF(D108="","",IFERROR(INDEX(tblClientes[ID],MATCH(D108,tblClientes[NOMBRE],0)),""))</f>
        <v/>
      </c>
      <c r="D108" s="14"/>
      <c r="E108" s="14"/>
      <c r="F108" s="14" t="str">
        <f>IF(E108="","",IFERROR(INDEX(tblProductos[CATEGORIA],MATCH(E108,tblProductos[ITEM],0)),""))</f>
        <v/>
      </c>
      <c r="G108" s="15"/>
      <c r="H108" s="16"/>
      <c r="I108" s="16" t="str">
        <f>IF(E108="","",IFERROR(INDEX(tblProductos[PRECIO_VENTA],MATCH(E108,tblProductos[ITEM],0)),""))</f>
        <v/>
      </c>
      <c r="J108" s="16" t="str">
        <f t="shared" si="6"/>
        <v/>
      </c>
      <c r="K108" s="16" t="str">
        <f t="shared" si="7"/>
        <v/>
      </c>
      <c r="L108" s="16" t="str">
        <f>IF(E108="","",IFERROR(INDEX(tblProductos[COSTO TOTAL],MATCH(E108,tblProductos[ITEM],0)),""))</f>
        <v/>
      </c>
      <c r="M108" s="16" t="str">
        <f t="shared" si="8"/>
        <v/>
      </c>
      <c r="N108" s="16" t="str">
        <f t="shared" si="9"/>
        <v/>
      </c>
      <c r="O108" s="14" t="s">
        <v>34</v>
      </c>
      <c r="P108" s="14" t="s">
        <v>35</v>
      </c>
      <c r="Q108" s="14" t="s">
        <v>36</v>
      </c>
      <c r="R108" s="14"/>
      <c r="S108" t="str">
        <f>IF(E108="","",IFERROR(INDEX(tblProductos[STOCK_ACTUAL],MATCH(E108,tblProductos[ITEM],0)),""))</f>
        <v/>
      </c>
    </row>
    <row r="109" spans="1:19" x14ac:dyDescent="0.3">
      <c r="A109" s="40"/>
      <c r="B109" s="14" t="str">
        <f t="shared" si="5"/>
        <v/>
      </c>
      <c r="C109" s="14" t="str">
        <f>IF(D109="","",IFERROR(INDEX(tblClientes[ID],MATCH(D109,tblClientes[NOMBRE],0)),""))</f>
        <v/>
      </c>
      <c r="D109" s="14"/>
      <c r="E109" s="14"/>
      <c r="F109" s="14" t="str">
        <f>IF(E109="","",IFERROR(INDEX(tblProductos[CATEGORIA],MATCH(E109,tblProductos[ITEM],0)),""))</f>
        <v/>
      </c>
      <c r="G109" s="15"/>
      <c r="H109" s="16"/>
      <c r="I109" s="16" t="str">
        <f>IF(E109="","",IFERROR(INDEX(tblProductos[PRECIO_VENTA],MATCH(E109,tblProductos[ITEM],0)),""))</f>
        <v/>
      </c>
      <c r="J109" s="16" t="str">
        <f t="shared" si="6"/>
        <v/>
      </c>
      <c r="K109" s="16" t="str">
        <f t="shared" si="7"/>
        <v/>
      </c>
      <c r="L109" s="16" t="str">
        <f>IF(E109="","",IFERROR(INDEX(tblProductos[COSTO TOTAL],MATCH(E109,tblProductos[ITEM],0)),""))</f>
        <v/>
      </c>
      <c r="M109" s="16" t="str">
        <f t="shared" si="8"/>
        <v/>
      </c>
      <c r="N109" s="16" t="str">
        <f t="shared" si="9"/>
        <v/>
      </c>
      <c r="O109" s="14" t="s">
        <v>34</v>
      </c>
      <c r="P109" s="14" t="s">
        <v>35</v>
      </c>
      <c r="Q109" s="14" t="s">
        <v>36</v>
      </c>
      <c r="R109" s="14"/>
      <c r="S109" t="str">
        <f>IF(E109="","",IFERROR(INDEX(tblProductos[STOCK_ACTUAL],MATCH(E109,tblProductos[ITEM],0)),""))</f>
        <v/>
      </c>
    </row>
    <row r="110" spans="1:19" x14ac:dyDescent="0.3">
      <c r="A110" s="40"/>
      <c r="B110" s="14" t="str">
        <f t="shared" si="5"/>
        <v/>
      </c>
      <c r="C110" s="14" t="str">
        <f>IF(D110="","",IFERROR(INDEX(tblClientes[ID],MATCH(D110,tblClientes[NOMBRE],0)),""))</f>
        <v/>
      </c>
      <c r="D110" s="14"/>
      <c r="E110" s="14"/>
      <c r="F110" s="14" t="str">
        <f>IF(E110="","",IFERROR(INDEX(tblProductos[CATEGORIA],MATCH(E110,tblProductos[ITEM],0)),""))</f>
        <v/>
      </c>
      <c r="G110" s="15"/>
      <c r="H110" s="16"/>
      <c r="I110" s="16" t="str">
        <f>IF(E110="","",IFERROR(INDEX(tblProductos[PRECIO_VENTA],MATCH(E110,tblProductos[ITEM],0)),""))</f>
        <v/>
      </c>
      <c r="J110" s="16" t="str">
        <f t="shared" si="6"/>
        <v/>
      </c>
      <c r="K110" s="16" t="str">
        <f t="shared" si="7"/>
        <v/>
      </c>
      <c r="L110" s="16" t="str">
        <f>IF(E110="","",IFERROR(INDEX(tblProductos[COSTO TOTAL],MATCH(E110,tblProductos[ITEM],0)),""))</f>
        <v/>
      </c>
      <c r="M110" s="16" t="str">
        <f t="shared" si="8"/>
        <v/>
      </c>
      <c r="N110" s="16" t="str">
        <f t="shared" si="9"/>
        <v/>
      </c>
      <c r="O110" s="14" t="s">
        <v>34</v>
      </c>
      <c r="P110" s="14" t="s">
        <v>35</v>
      </c>
      <c r="Q110" s="14" t="s">
        <v>36</v>
      </c>
      <c r="R110" s="14"/>
      <c r="S110" t="str">
        <f>IF(E110="","",IFERROR(INDEX(tblProductos[STOCK_ACTUAL],MATCH(E110,tblProductos[ITEM],0)),""))</f>
        <v/>
      </c>
    </row>
    <row r="111" spans="1:19" x14ac:dyDescent="0.3">
      <c r="A111" s="40"/>
      <c r="B111" s="14" t="str">
        <f t="shared" si="5"/>
        <v/>
      </c>
      <c r="C111" s="14" t="str">
        <f>IF(D111="","",IFERROR(INDEX(tblClientes[ID],MATCH(D111,tblClientes[NOMBRE],0)),""))</f>
        <v/>
      </c>
      <c r="D111" s="14"/>
      <c r="E111" s="14"/>
      <c r="F111" s="14" t="str">
        <f>IF(E111="","",IFERROR(INDEX(tblProductos[CATEGORIA],MATCH(E111,tblProductos[ITEM],0)),""))</f>
        <v/>
      </c>
      <c r="G111" s="15"/>
      <c r="H111" s="16"/>
      <c r="I111" s="16" t="str">
        <f>IF(E111="","",IFERROR(INDEX(tblProductos[PRECIO_VENTA],MATCH(E111,tblProductos[ITEM],0)),""))</f>
        <v/>
      </c>
      <c r="J111" s="16" t="str">
        <f t="shared" si="6"/>
        <v/>
      </c>
      <c r="K111" s="16" t="str">
        <f t="shared" si="7"/>
        <v/>
      </c>
      <c r="L111" s="16" t="str">
        <f>IF(E111="","",IFERROR(INDEX(tblProductos[COSTO TOTAL],MATCH(E111,tblProductos[ITEM],0)),""))</f>
        <v/>
      </c>
      <c r="M111" s="16" t="str">
        <f t="shared" si="8"/>
        <v/>
      </c>
      <c r="N111" s="16" t="str">
        <f t="shared" si="9"/>
        <v/>
      </c>
      <c r="O111" s="14" t="s">
        <v>34</v>
      </c>
      <c r="P111" s="14" t="s">
        <v>35</v>
      </c>
      <c r="Q111" s="14" t="s">
        <v>36</v>
      </c>
      <c r="R111" s="14"/>
      <c r="S111" t="str">
        <f>IF(E111="","",IFERROR(INDEX(tblProductos[STOCK_ACTUAL],MATCH(E111,tblProductos[ITEM],0)),""))</f>
        <v/>
      </c>
    </row>
    <row r="112" spans="1:19" x14ac:dyDescent="0.3">
      <c r="A112" s="40"/>
      <c r="B112" s="14" t="str">
        <f t="shared" si="5"/>
        <v/>
      </c>
      <c r="C112" s="14" t="str">
        <f>IF(D112="","",IFERROR(INDEX(tblClientes[ID],MATCH(D112,tblClientes[NOMBRE],0)),""))</f>
        <v/>
      </c>
      <c r="D112" s="14"/>
      <c r="E112" s="14"/>
      <c r="F112" s="14" t="str">
        <f>IF(E112="","",IFERROR(INDEX(tblProductos[CATEGORIA],MATCH(E112,tblProductos[ITEM],0)),""))</f>
        <v/>
      </c>
      <c r="G112" s="15"/>
      <c r="H112" s="16"/>
      <c r="I112" s="16" t="str">
        <f>IF(E112="","",IFERROR(INDEX(tblProductos[PRECIO_VENTA],MATCH(E112,tblProductos[ITEM],0)),""))</f>
        <v/>
      </c>
      <c r="J112" s="16" t="str">
        <f t="shared" si="6"/>
        <v/>
      </c>
      <c r="K112" s="16" t="str">
        <f t="shared" si="7"/>
        <v/>
      </c>
      <c r="L112" s="16" t="str">
        <f>IF(E112="","",IFERROR(INDEX(tblProductos[COSTO TOTAL],MATCH(E112,tblProductos[ITEM],0)),""))</f>
        <v/>
      </c>
      <c r="M112" s="16" t="str">
        <f t="shared" si="8"/>
        <v/>
      </c>
      <c r="N112" s="16" t="str">
        <f t="shared" si="9"/>
        <v/>
      </c>
      <c r="O112" s="14" t="s">
        <v>34</v>
      </c>
      <c r="P112" s="14" t="s">
        <v>35</v>
      </c>
      <c r="Q112" s="14" t="s">
        <v>36</v>
      </c>
      <c r="R112" s="14"/>
      <c r="S112" t="str">
        <f>IF(E112="","",IFERROR(INDEX(tblProductos[STOCK_ACTUAL],MATCH(E112,tblProductos[ITEM],0)),""))</f>
        <v/>
      </c>
    </row>
    <row r="113" spans="1:19" x14ac:dyDescent="0.3">
      <c r="A113" s="40"/>
      <c r="B113" s="14" t="str">
        <f t="shared" si="5"/>
        <v/>
      </c>
      <c r="C113" s="14" t="str">
        <f>IF(D113="","",IFERROR(INDEX(tblClientes[ID],MATCH(D113,tblClientes[NOMBRE],0)),""))</f>
        <v/>
      </c>
      <c r="D113" s="14"/>
      <c r="E113" s="14"/>
      <c r="F113" s="14" t="str">
        <f>IF(E113="","",IFERROR(INDEX(tblProductos[CATEGORIA],MATCH(E113,tblProductos[ITEM],0)),""))</f>
        <v/>
      </c>
      <c r="G113" s="15"/>
      <c r="H113" s="16"/>
      <c r="I113" s="16" t="str">
        <f>IF(E113="","",IFERROR(INDEX(tblProductos[PRECIO_VENTA],MATCH(E113,tblProductos[ITEM],0)),""))</f>
        <v/>
      </c>
      <c r="J113" s="16" t="str">
        <f t="shared" si="6"/>
        <v/>
      </c>
      <c r="K113" s="16" t="str">
        <f t="shared" si="7"/>
        <v/>
      </c>
      <c r="L113" s="16" t="str">
        <f>IF(E113="","",IFERROR(INDEX(tblProductos[COSTO TOTAL],MATCH(E113,tblProductos[ITEM],0)),""))</f>
        <v/>
      </c>
      <c r="M113" s="16" t="str">
        <f t="shared" si="8"/>
        <v/>
      </c>
      <c r="N113" s="16" t="str">
        <f t="shared" si="9"/>
        <v/>
      </c>
      <c r="O113" s="14" t="s">
        <v>34</v>
      </c>
      <c r="P113" s="14" t="s">
        <v>35</v>
      </c>
      <c r="Q113" s="14" t="s">
        <v>36</v>
      </c>
      <c r="R113" s="14"/>
      <c r="S113" t="str">
        <f>IF(E113="","",IFERROR(INDEX(tblProductos[STOCK_ACTUAL],MATCH(E113,tblProductos[ITEM],0)),""))</f>
        <v/>
      </c>
    </row>
    <row r="114" spans="1:19" x14ac:dyDescent="0.3">
      <c r="A114" s="40"/>
      <c r="B114" s="14" t="str">
        <f t="shared" si="5"/>
        <v/>
      </c>
      <c r="C114" s="14" t="str">
        <f>IF(D114="","",IFERROR(INDEX(tblClientes[ID],MATCH(D114,tblClientes[NOMBRE],0)),""))</f>
        <v/>
      </c>
      <c r="D114" s="14"/>
      <c r="E114" s="14"/>
      <c r="F114" s="14" t="str">
        <f>IF(E114="","",IFERROR(INDEX(tblProductos[CATEGORIA],MATCH(E114,tblProductos[ITEM],0)),""))</f>
        <v/>
      </c>
      <c r="G114" s="15"/>
      <c r="H114" s="16"/>
      <c r="I114" s="16" t="str">
        <f>IF(E114="","",IFERROR(INDEX(tblProductos[PRECIO_VENTA],MATCH(E114,tblProductos[ITEM],0)),""))</f>
        <v/>
      </c>
      <c r="J114" s="16" t="str">
        <f t="shared" si="6"/>
        <v/>
      </c>
      <c r="K114" s="16" t="str">
        <f t="shared" si="7"/>
        <v/>
      </c>
      <c r="L114" s="16" t="str">
        <f>IF(E114="","",IFERROR(INDEX(tblProductos[COSTO TOTAL],MATCH(E114,tblProductos[ITEM],0)),""))</f>
        <v/>
      </c>
      <c r="M114" s="16" t="str">
        <f t="shared" si="8"/>
        <v/>
      </c>
      <c r="N114" s="16" t="str">
        <f t="shared" si="9"/>
        <v/>
      </c>
      <c r="O114" s="14" t="s">
        <v>34</v>
      </c>
      <c r="P114" s="14" t="s">
        <v>35</v>
      </c>
      <c r="Q114" s="14" t="s">
        <v>36</v>
      </c>
      <c r="R114" s="14"/>
      <c r="S114" t="str">
        <f>IF(E114="","",IFERROR(INDEX(tblProductos[STOCK_ACTUAL],MATCH(E114,tblProductos[ITEM],0)),""))</f>
        <v/>
      </c>
    </row>
    <row r="115" spans="1:19" x14ac:dyDescent="0.3">
      <c r="A115" s="40"/>
      <c r="B115" s="14" t="str">
        <f t="shared" si="5"/>
        <v/>
      </c>
      <c r="C115" s="14" t="str">
        <f>IF(D115="","",IFERROR(INDEX(tblClientes[ID],MATCH(D115,tblClientes[NOMBRE],0)),""))</f>
        <v/>
      </c>
      <c r="D115" s="14"/>
      <c r="E115" s="14"/>
      <c r="F115" s="14" t="str">
        <f>IF(E115="","",IFERROR(INDEX(tblProductos[CATEGORIA],MATCH(E115,tblProductos[ITEM],0)),""))</f>
        <v/>
      </c>
      <c r="G115" s="15"/>
      <c r="H115" s="16"/>
      <c r="I115" s="16" t="str">
        <f>IF(E115="","",IFERROR(INDEX(tblProductos[PRECIO_VENTA],MATCH(E115,tblProductos[ITEM],0)),""))</f>
        <v/>
      </c>
      <c r="J115" s="16" t="str">
        <f t="shared" si="6"/>
        <v/>
      </c>
      <c r="K115" s="16" t="str">
        <f t="shared" si="7"/>
        <v/>
      </c>
      <c r="L115" s="16" t="str">
        <f>IF(E115="","",IFERROR(INDEX(tblProductos[COSTO TOTAL],MATCH(E115,tblProductos[ITEM],0)),""))</f>
        <v/>
      </c>
      <c r="M115" s="16" t="str">
        <f t="shared" si="8"/>
        <v/>
      </c>
      <c r="N115" s="16" t="str">
        <f t="shared" si="9"/>
        <v/>
      </c>
      <c r="O115" s="14" t="s">
        <v>34</v>
      </c>
      <c r="P115" s="14" t="s">
        <v>35</v>
      </c>
      <c r="Q115" s="14" t="s">
        <v>36</v>
      </c>
      <c r="R115" s="14"/>
      <c r="S115" t="str">
        <f>IF(E115="","",IFERROR(INDEX(tblProductos[STOCK_ACTUAL],MATCH(E115,tblProductos[ITEM],0)),""))</f>
        <v/>
      </c>
    </row>
    <row r="116" spans="1:19" x14ac:dyDescent="0.3">
      <c r="A116" s="40"/>
      <c r="B116" s="14" t="str">
        <f t="shared" si="5"/>
        <v/>
      </c>
      <c r="C116" s="14" t="str">
        <f>IF(D116="","",IFERROR(INDEX(tblClientes[ID],MATCH(D116,tblClientes[NOMBRE],0)),""))</f>
        <v/>
      </c>
      <c r="D116" s="14"/>
      <c r="E116" s="14"/>
      <c r="F116" s="14" t="str">
        <f>IF(E116="","",IFERROR(INDEX(tblProductos[CATEGORIA],MATCH(E116,tblProductos[ITEM],0)),""))</f>
        <v/>
      </c>
      <c r="G116" s="15"/>
      <c r="H116" s="16"/>
      <c r="I116" s="16" t="str">
        <f>IF(E116="","",IFERROR(INDEX(tblProductos[PRECIO_VENTA],MATCH(E116,tblProductos[ITEM],0)),""))</f>
        <v/>
      </c>
      <c r="J116" s="16" t="str">
        <f t="shared" si="6"/>
        <v/>
      </c>
      <c r="K116" s="16" t="str">
        <f t="shared" si="7"/>
        <v/>
      </c>
      <c r="L116" s="16" t="str">
        <f>IF(E116="","",IFERROR(INDEX(tblProductos[COSTO TOTAL],MATCH(E116,tblProductos[ITEM],0)),""))</f>
        <v/>
      </c>
      <c r="M116" s="16" t="str">
        <f t="shared" si="8"/>
        <v/>
      </c>
      <c r="N116" s="16" t="str">
        <f t="shared" si="9"/>
        <v/>
      </c>
      <c r="O116" s="14" t="s">
        <v>34</v>
      </c>
      <c r="P116" s="14" t="s">
        <v>35</v>
      </c>
      <c r="Q116" s="14" t="s">
        <v>36</v>
      </c>
      <c r="R116" s="14"/>
      <c r="S116" t="str">
        <f>IF(E116="","",IFERROR(INDEX(tblProductos[STOCK_ACTUAL],MATCH(E116,tblProductos[ITEM],0)),""))</f>
        <v/>
      </c>
    </row>
    <row r="117" spans="1:19" x14ac:dyDescent="0.3">
      <c r="A117" s="40"/>
      <c r="B117" s="14" t="str">
        <f t="shared" si="5"/>
        <v/>
      </c>
      <c r="C117" s="14" t="str">
        <f>IF(D117="","",IFERROR(INDEX(tblClientes[ID],MATCH(D117,tblClientes[NOMBRE],0)),""))</f>
        <v/>
      </c>
      <c r="D117" s="14"/>
      <c r="E117" s="14"/>
      <c r="F117" s="14" t="str">
        <f>IF(E117="","",IFERROR(INDEX(tblProductos[CATEGORIA],MATCH(E117,tblProductos[ITEM],0)),""))</f>
        <v/>
      </c>
      <c r="G117" s="15"/>
      <c r="H117" s="16"/>
      <c r="I117" s="16" t="str">
        <f>IF(E117="","",IFERROR(INDEX(tblProductos[PRECIO_VENTA],MATCH(E117,tblProductos[ITEM],0)),""))</f>
        <v/>
      </c>
      <c r="J117" s="16" t="str">
        <f t="shared" si="6"/>
        <v/>
      </c>
      <c r="K117" s="16" t="str">
        <f t="shared" si="7"/>
        <v/>
      </c>
      <c r="L117" s="16" t="str">
        <f>IF(E117="","",IFERROR(INDEX(tblProductos[COSTO TOTAL],MATCH(E117,tblProductos[ITEM],0)),""))</f>
        <v/>
      </c>
      <c r="M117" s="16" t="str">
        <f t="shared" si="8"/>
        <v/>
      </c>
      <c r="N117" s="16" t="str">
        <f t="shared" si="9"/>
        <v/>
      </c>
      <c r="O117" s="14" t="s">
        <v>34</v>
      </c>
      <c r="P117" s="14" t="s">
        <v>35</v>
      </c>
      <c r="Q117" s="14" t="s">
        <v>36</v>
      </c>
      <c r="R117" s="14"/>
      <c r="S117" t="str">
        <f>IF(E117="","",IFERROR(INDEX(tblProductos[STOCK_ACTUAL],MATCH(E117,tblProductos[ITEM],0)),""))</f>
        <v/>
      </c>
    </row>
    <row r="118" spans="1:19" x14ac:dyDescent="0.3">
      <c r="A118" s="40"/>
      <c r="B118" s="14" t="str">
        <f t="shared" si="5"/>
        <v/>
      </c>
      <c r="C118" s="14" t="str">
        <f>IF(D118="","",IFERROR(INDEX(tblClientes[ID],MATCH(D118,tblClientes[NOMBRE],0)),""))</f>
        <v/>
      </c>
      <c r="D118" s="14"/>
      <c r="E118" s="14"/>
      <c r="F118" s="14" t="str">
        <f>IF(E118="","",IFERROR(INDEX(tblProductos[CATEGORIA],MATCH(E118,tblProductos[ITEM],0)),""))</f>
        <v/>
      </c>
      <c r="G118" s="15"/>
      <c r="H118" s="16"/>
      <c r="I118" s="16" t="str">
        <f>IF(E118="","",IFERROR(INDEX(tblProductos[PRECIO_VENTA],MATCH(E118,tblProductos[ITEM],0)),""))</f>
        <v/>
      </c>
      <c r="J118" s="16" t="str">
        <f t="shared" si="6"/>
        <v/>
      </c>
      <c r="K118" s="16" t="str">
        <f t="shared" si="7"/>
        <v/>
      </c>
      <c r="L118" s="16" t="str">
        <f>IF(E118="","",IFERROR(INDEX(tblProductos[COSTO TOTAL],MATCH(E118,tblProductos[ITEM],0)),""))</f>
        <v/>
      </c>
      <c r="M118" s="16" t="str">
        <f t="shared" si="8"/>
        <v/>
      </c>
      <c r="N118" s="16" t="str">
        <f t="shared" si="9"/>
        <v/>
      </c>
      <c r="O118" s="14" t="s">
        <v>34</v>
      </c>
      <c r="P118" s="14" t="s">
        <v>35</v>
      </c>
      <c r="Q118" s="14" t="s">
        <v>36</v>
      </c>
      <c r="R118" s="14"/>
      <c r="S118" t="str">
        <f>IF(E118="","",IFERROR(INDEX(tblProductos[STOCK_ACTUAL],MATCH(E118,tblProductos[ITEM],0)),""))</f>
        <v/>
      </c>
    </row>
    <row r="119" spans="1:19" x14ac:dyDescent="0.3">
      <c r="A119" s="40"/>
      <c r="B119" s="14" t="str">
        <f t="shared" si="5"/>
        <v/>
      </c>
      <c r="C119" s="14" t="str">
        <f>IF(D119="","",IFERROR(INDEX(tblClientes[ID],MATCH(D119,tblClientes[NOMBRE],0)),""))</f>
        <v/>
      </c>
      <c r="D119" s="14"/>
      <c r="E119" s="14"/>
      <c r="F119" s="14" t="str">
        <f>IF(E119="","",IFERROR(INDEX(tblProductos[CATEGORIA],MATCH(E119,tblProductos[ITEM],0)),""))</f>
        <v/>
      </c>
      <c r="G119" s="15"/>
      <c r="H119" s="16"/>
      <c r="I119" s="16" t="str">
        <f>IF(E119="","",IFERROR(INDEX(tblProductos[PRECIO_VENTA],MATCH(E119,tblProductos[ITEM],0)),""))</f>
        <v/>
      </c>
      <c r="J119" s="16" t="str">
        <f t="shared" si="6"/>
        <v/>
      </c>
      <c r="K119" s="16" t="str">
        <f t="shared" si="7"/>
        <v/>
      </c>
      <c r="L119" s="16" t="str">
        <f>IF(E119="","",IFERROR(INDEX(tblProductos[COSTO TOTAL],MATCH(E119,tblProductos[ITEM],0)),""))</f>
        <v/>
      </c>
      <c r="M119" s="16" t="str">
        <f t="shared" si="8"/>
        <v/>
      </c>
      <c r="N119" s="16" t="str">
        <f t="shared" si="9"/>
        <v/>
      </c>
      <c r="O119" s="14" t="s">
        <v>34</v>
      </c>
      <c r="P119" s="14" t="s">
        <v>35</v>
      </c>
      <c r="Q119" s="14" t="s">
        <v>36</v>
      </c>
      <c r="R119" s="14"/>
      <c r="S119" t="str">
        <f>IF(E119="","",IFERROR(INDEX(tblProductos[STOCK_ACTUAL],MATCH(E119,tblProductos[ITEM],0)),""))</f>
        <v/>
      </c>
    </row>
    <row r="120" spans="1:19" x14ac:dyDescent="0.3">
      <c r="A120" s="40"/>
      <c r="B120" s="14" t="str">
        <f t="shared" si="5"/>
        <v/>
      </c>
      <c r="C120" s="14" t="str">
        <f>IF(D120="","",IFERROR(INDEX(tblClientes[ID],MATCH(D120,tblClientes[NOMBRE],0)),""))</f>
        <v/>
      </c>
      <c r="D120" s="14"/>
      <c r="E120" s="14"/>
      <c r="F120" s="14" t="str">
        <f>IF(E120="","",IFERROR(INDEX(tblProductos[CATEGORIA],MATCH(E120,tblProductos[ITEM],0)),""))</f>
        <v/>
      </c>
      <c r="G120" s="15"/>
      <c r="H120" s="16"/>
      <c r="I120" s="16" t="str">
        <f>IF(E120="","",IFERROR(INDEX(tblProductos[PRECIO_VENTA],MATCH(E120,tblProductos[ITEM],0)),""))</f>
        <v/>
      </c>
      <c r="J120" s="16" t="str">
        <f t="shared" si="6"/>
        <v/>
      </c>
      <c r="K120" s="16" t="str">
        <f t="shared" si="7"/>
        <v/>
      </c>
      <c r="L120" s="16" t="str">
        <f>IF(E120="","",IFERROR(INDEX(tblProductos[COSTO TOTAL],MATCH(E120,tblProductos[ITEM],0)),""))</f>
        <v/>
      </c>
      <c r="M120" s="16" t="str">
        <f t="shared" si="8"/>
        <v/>
      </c>
      <c r="N120" s="16" t="str">
        <f t="shared" si="9"/>
        <v/>
      </c>
      <c r="O120" s="14" t="s">
        <v>34</v>
      </c>
      <c r="P120" s="14" t="s">
        <v>35</v>
      </c>
      <c r="Q120" s="14" t="s">
        <v>36</v>
      </c>
      <c r="R120" s="14"/>
      <c r="S120" t="str">
        <f>IF(E120="","",IFERROR(INDEX(tblProductos[STOCK_ACTUAL],MATCH(E120,tblProductos[ITEM],0)),""))</f>
        <v/>
      </c>
    </row>
    <row r="121" spans="1:19" x14ac:dyDescent="0.3">
      <c r="A121" s="40"/>
      <c r="B121" s="14" t="str">
        <f t="shared" si="5"/>
        <v/>
      </c>
      <c r="C121" s="14" t="str">
        <f>IF(D121="","",IFERROR(INDEX(tblClientes[ID],MATCH(D121,tblClientes[NOMBRE],0)),""))</f>
        <v/>
      </c>
      <c r="D121" s="14"/>
      <c r="E121" s="14"/>
      <c r="F121" s="14" t="str">
        <f>IF(E121="","",IFERROR(INDEX(tblProductos[CATEGORIA],MATCH(E121,tblProductos[ITEM],0)),""))</f>
        <v/>
      </c>
      <c r="G121" s="15"/>
      <c r="H121" s="16"/>
      <c r="I121" s="16" t="str">
        <f>IF(E121="","",IFERROR(INDEX(tblProductos[PRECIO_VENTA],MATCH(E121,tblProductos[ITEM],0)),""))</f>
        <v/>
      </c>
      <c r="J121" s="16" t="str">
        <f t="shared" si="6"/>
        <v/>
      </c>
      <c r="K121" s="16" t="str">
        <f t="shared" si="7"/>
        <v/>
      </c>
      <c r="L121" s="16" t="str">
        <f>IF(E121="","",IFERROR(INDEX(tblProductos[COSTO TOTAL],MATCH(E121,tblProductos[ITEM],0)),""))</f>
        <v/>
      </c>
      <c r="M121" s="16" t="str">
        <f t="shared" si="8"/>
        <v/>
      </c>
      <c r="N121" s="16" t="str">
        <f t="shared" si="9"/>
        <v/>
      </c>
      <c r="O121" s="14" t="s">
        <v>34</v>
      </c>
      <c r="P121" s="14" t="s">
        <v>35</v>
      </c>
      <c r="Q121" s="14" t="s">
        <v>36</v>
      </c>
      <c r="R121" s="14"/>
      <c r="S121" t="str">
        <f>IF(E121="","",IFERROR(INDEX(tblProductos[STOCK_ACTUAL],MATCH(E121,tblProductos[ITEM],0)),""))</f>
        <v/>
      </c>
    </row>
    <row r="122" spans="1:19" x14ac:dyDescent="0.3">
      <c r="A122" s="40"/>
      <c r="B122" s="14" t="str">
        <f t="shared" si="5"/>
        <v/>
      </c>
      <c r="C122" s="14" t="str">
        <f>IF(D122="","",IFERROR(INDEX(tblClientes[ID],MATCH(D122,tblClientes[NOMBRE],0)),""))</f>
        <v/>
      </c>
      <c r="D122" s="14"/>
      <c r="E122" s="14"/>
      <c r="F122" s="14" t="str">
        <f>IF(E122="","",IFERROR(INDEX(tblProductos[CATEGORIA],MATCH(E122,tblProductos[ITEM],0)),""))</f>
        <v/>
      </c>
      <c r="G122" s="15"/>
      <c r="H122" s="16"/>
      <c r="I122" s="16" t="str">
        <f>IF(E122="","",IFERROR(INDEX(tblProductos[PRECIO_VENTA],MATCH(E122,tblProductos[ITEM],0)),""))</f>
        <v/>
      </c>
      <c r="J122" s="16" t="str">
        <f t="shared" si="6"/>
        <v/>
      </c>
      <c r="K122" s="16" t="str">
        <f t="shared" si="7"/>
        <v/>
      </c>
      <c r="L122" s="16" t="str">
        <f>IF(E122="","",IFERROR(INDEX(tblProductos[COSTO TOTAL],MATCH(E122,tblProductos[ITEM],0)),""))</f>
        <v/>
      </c>
      <c r="M122" s="16" t="str">
        <f t="shared" si="8"/>
        <v/>
      </c>
      <c r="N122" s="16" t="str">
        <f t="shared" si="9"/>
        <v/>
      </c>
      <c r="O122" s="14" t="s">
        <v>34</v>
      </c>
      <c r="P122" s="14" t="s">
        <v>35</v>
      </c>
      <c r="Q122" s="14" t="s">
        <v>36</v>
      </c>
      <c r="R122" s="14"/>
      <c r="S122" t="str">
        <f>IF(E122="","",IFERROR(INDEX(tblProductos[STOCK_ACTUAL],MATCH(E122,tblProductos[ITEM],0)),""))</f>
        <v/>
      </c>
    </row>
    <row r="123" spans="1:19" x14ac:dyDescent="0.3">
      <c r="A123" s="40"/>
      <c r="B123" s="14" t="str">
        <f t="shared" si="5"/>
        <v/>
      </c>
      <c r="C123" s="14" t="str">
        <f>IF(D123="","",IFERROR(INDEX(tblClientes[ID],MATCH(D123,tblClientes[NOMBRE],0)),""))</f>
        <v/>
      </c>
      <c r="D123" s="14"/>
      <c r="E123" s="14"/>
      <c r="F123" s="14" t="str">
        <f>IF(E123="","",IFERROR(INDEX(tblProductos[CATEGORIA],MATCH(E123,tblProductos[ITEM],0)),""))</f>
        <v/>
      </c>
      <c r="G123" s="15"/>
      <c r="H123" s="16"/>
      <c r="I123" s="16" t="str">
        <f>IF(E123="","",IFERROR(INDEX(tblProductos[PRECIO_VENTA],MATCH(E123,tblProductos[ITEM],0)),""))</f>
        <v/>
      </c>
      <c r="J123" s="16" t="str">
        <f t="shared" si="6"/>
        <v/>
      </c>
      <c r="K123" s="16" t="str">
        <f t="shared" si="7"/>
        <v/>
      </c>
      <c r="L123" s="16" t="str">
        <f>IF(E123="","",IFERROR(INDEX(tblProductos[COSTO TOTAL],MATCH(E123,tblProductos[ITEM],0)),""))</f>
        <v/>
      </c>
      <c r="M123" s="16" t="str">
        <f t="shared" si="8"/>
        <v/>
      </c>
      <c r="N123" s="16" t="str">
        <f t="shared" si="9"/>
        <v/>
      </c>
      <c r="O123" s="14" t="s">
        <v>34</v>
      </c>
      <c r="P123" s="14" t="s">
        <v>35</v>
      </c>
      <c r="Q123" s="14" t="s">
        <v>36</v>
      </c>
      <c r="R123" s="14"/>
      <c r="S123" t="str">
        <f>IF(E123="","",IFERROR(INDEX(tblProductos[STOCK_ACTUAL],MATCH(E123,tblProductos[ITEM],0)),""))</f>
        <v/>
      </c>
    </row>
    <row r="124" spans="1:19" x14ac:dyDescent="0.3">
      <c r="A124" s="40"/>
      <c r="B124" s="14" t="str">
        <f t="shared" si="5"/>
        <v/>
      </c>
      <c r="C124" s="14" t="str">
        <f>IF(D124="","",IFERROR(INDEX(tblClientes[ID],MATCH(D124,tblClientes[NOMBRE],0)),""))</f>
        <v/>
      </c>
      <c r="D124" s="14"/>
      <c r="E124" s="14"/>
      <c r="F124" s="14" t="str">
        <f>IF(E124="","",IFERROR(INDEX(tblProductos[CATEGORIA],MATCH(E124,tblProductos[ITEM],0)),""))</f>
        <v/>
      </c>
      <c r="G124" s="15"/>
      <c r="H124" s="16"/>
      <c r="I124" s="16" t="str">
        <f>IF(E124="","",IFERROR(INDEX(tblProductos[PRECIO_VENTA],MATCH(E124,tblProductos[ITEM],0)),""))</f>
        <v/>
      </c>
      <c r="J124" s="16" t="str">
        <f t="shared" si="6"/>
        <v/>
      </c>
      <c r="K124" s="16" t="str">
        <f t="shared" si="7"/>
        <v/>
      </c>
      <c r="L124" s="16" t="str">
        <f>IF(E124="","",IFERROR(INDEX(tblProductos[COSTO TOTAL],MATCH(E124,tblProductos[ITEM],0)),""))</f>
        <v/>
      </c>
      <c r="M124" s="16" t="str">
        <f t="shared" si="8"/>
        <v/>
      </c>
      <c r="N124" s="16" t="str">
        <f t="shared" si="9"/>
        <v/>
      </c>
      <c r="O124" s="14" t="s">
        <v>34</v>
      </c>
      <c r="P124" s="14" t="s">
        <v>35</v>
      </c>
      <c r="Q124" s="14" t="s">
        <v>36</v>
      </c>
      <c r="R124" s="14"/>
      <c r="S124" t="str">
        <f>IF(E124="","",IFERROR(INDEX(tblProductos[STOCK_ACTUAL],MATCH(E124,tblProductos[ITEM],0)),""))</f>
        <v/>
      </c>
    </row>
    <row r="125" spans="1:19" x14ac:dyDescent="0.3">
      <c r="A125" s="40"/>
      <c r="B125" s="14" t="str">
        <f t="shared" si="5"/>
        <v/>
      </c>
      <c r="C125" s="14" t="str">
        <f>IF(D125="","",IFERROR(INDEX(tblClientes[ID],MATCH(D125,tblClientes[NOMBRE],0)),""))</f>
        <v/>
      </c>
      <c r="D125" s="14"/>
      <c r="E125" s="14"/>
      <c r="F125" s="14" t="str">
        <f>IF(E125="","",IFERROR(INDEX(tblProductos[CATEGORIA],MATCH(E125,tblProductos[ITEM],0)),""))</f>
        <v/>
      </c>
      <c r="G125" s="15"/>
      <c r="H125" s="16"/>
      <c r="I125" s="16" t="str">
        <f>IF(E125="","",IFERROR(INDEX(tblProductos[PRECIO_VENTA],MATCH(E125,tblProductos[ITEM],0)),""))</f>
        <v/>
      </c>
      <c r="J125" s="16" t="str">
        <f t="shared" si="6"/>
        <v/>
      </c>
      <c r="K125" s="16" t="str">
        <f t="shared" si="7"/>
        <v/>
      </c>
      <c r="L125" s="16" t="str">
        <f>IF(E125="","",IFERROR(INDEX(tblProductos[COSTO TOTAL],MATCH(E125,tblProductos[ITEM],0)),""))</f>
        <v/>
      </c>
      <c r="M125" s="16" t="str">
        <f t="shared" si="8"/>
        <v/>
      </c>
      <c r="N125" s="16" t="str">
        <f t="shared" si="9"/>
        <v/>
      </c>
      <c r="O125" s="14" t="s">
        <v>34</v>
      </c>
      <c r="P125" s="14" t="s">
        <v>35</v>
      </c>
      <c r="Q125" s="14" t="s">
        <v>36</v>
      </c>
      <c r="R125" s="14"/>
      <c r="S125" t="str">
        <f>IF(E125="","",IFERROR(INDEX(tblProductos[STOCK_ACTUAL],MATCH(E125,tblProductos[ITEM],0)),""))</f>
        <v/>
      </c>
    </row>
    <row r="126" spans="1:19" x14ac:dyDescent="0.3">
      <c r="A126" s="40"/>
      <c r="B126" s="14" t="str">
        <f t="shared" si="5"/>
        <v/>
      </c>
      <c r="C126" s="14" t="str">
        <f>IF(D126="","",IFERROR(INDEX(tblClientes[ID],MATCH(D126,tblClientes[NOMBRE],0)),""))</f>
        <v/>
      </c>
      <c r="D126" s="14"/>
      <c r="E126" s="14"/>
      <c r="F126" s="14" t="str">
        <f>IF(E126="","",IFERROR(INDEX(tblProductos[CATEGORIA],MATCH(E126,tblProductos[ITEM],0)),""))</f>
        <v/>
      </c>
      <c r="G126" s="15"/>
      <c r="H126" s="16"/>
      <c r="I126" s="16" t="str">
        <f>IF(E126="","",IFERROR(INDEX(tblProductos[PRECIO_VENTA],MATCH(E126,tblProductos[ITEM],0)),""))</f>
        <v/>
      </c>
      <c r="J126" s="16" t="str">
        <f t="shared" si="6"/>
        <v/>
      </c>
      <c r="K126" s="16" t="str">
        <f t="shared" si="7"/>
        <v/>
      </c>
      <c r="L126" s="16" t="str">
        <f>IF(E126="","",IFERROR(INDEX(tblProductos[COSTO TOTAL],MATCH(E126,tblProductos[ITEM],0)),""))</f>
        <v/>
      </c>
      <c r="M126" s="16" t="str">
        <f t="shared" si="8"/>
        <v/>
      </c>
      <c r="N126" s="16" t="str">
        <f t="shared" si="9"/>
        <v/>
      </c>
      <c r="O126" s="14" t="s">
        <v>34</v>
      </c>
      <c r="P126" s="14" t="s">
        <v>35</v>
      </c>
      <c r="Q126" s="14" t="s">
        <v>36</v>
      </c>
      <c r="R126" s="14"/>
      <c r="S126" t="str">
        <f>IF(E126="","",IFERROR(INDEX(tblProductos[STOCK_ACTUAL],MATCH(E126,tblProductos[ITEM],0)),""))</f>
        <v/>
      </c>
    </row>
    <row r="127" spans="1:19" x14ac:dyDescent="0.3">
      <c r="A127" s="40"/>
      <c r="B127" s="14" t="str">
        <f t="shared" si="5"/>
        <v/>
      </c>
      <c r="C127" s="14" t="str">
        <f>IF(D127="","",IFERROR(INDEX(tblClientes[ID],MATCH(D127,tblClientes[NOMBRE],0)),""))</f>
        <v/>
      </c>
      <c r="D127" s="14"/>
      <c r="E127" s="14"/>
      <c r="F127" s="14" t="str">
        <f>IF(E127="","",IFERROR(INDEX(tblProductos[CATEGORIA],MATCH(E127,tblProductos[ITEM],0)),""))</f>
        <v/>
      </c>
      <c r="G127" s="15"/>
      <c r="H127" s="16"/>
      <c r="I127" s="16" t="str">
        <f>IF(E127="","",IFERROR(INDEX(tblProductos[PRECIO_VENTA],MATCH(E127,tblProductos[ITEM],0)),""))</f>
        <v/>
      </c>
      <c r="J127" s="16" t="str">
        <f t="shared" si="6"/>
        <v/>
      </c>
      <c r="K127" s="16" t="str">
        <f t="shared" si="7"/>
        <v/>
      </c>
      <c r="L127" s="16" t="str">
        <f>IF(E127="","",IFERROR(INDEX(tblProductos[COSTO TOTAL],MATCH(E127,tblProductos[ITEM],0)),""))</f>
        <v/>
      </c>
      <c r="M127" s="16" t="str">
        <f t="shared" si="8"/>
        <v/>
      </c>
      <c r="N127" s="16" t="str">
        <f t="shared" si="9"/>
        <v/>
      </c>
      <c r="O127" s="14" t="s">
        <v>34</v>
      </c>
      <c r="P127" s="14" t="s">
        <v>35</v>
      </c>
      <c r="Q127" s="14" t="s">
        <v>36</v>
      </c>
      <c r="R127" s="14"/>
      <c r="S127" t="str">
        <f>IF(E127="","",IFERROR(INDEX(tblProductos[STOCK_ACTUAL],MATCH(E127,tblProductos[ITEM],0)),""))</f>
        <v/>
      </c>
    </row>
    <row r="128" spans="1:19" x14ac:dyDescent="0.3">
      <c r="A128" s="40"/>
      <c r="B128" s="14" t="str">
        <f t="shared" si="5"/>
        <v/>
      </c>
      <c r="C128" s="14" t="str">
        <f>IF(D128="","",IFERROR(INDEX(tblClientes[ID],MATCH(D128,tblClientes[NOMBRE],0)),""))</f>
        <v/>
      </c>
      <c r="D128" s="14"/>
      <c r="E128" s="14"/>
      <c r="F128" s="14" t="str">
        <f>IF(E128="","",IFERROR(INDEX(tblProductos[CATEGORIA],MATCH(E128,tblProductos[ITEM],0)),""))</f>
        <v/>
      </c>
      <c r="G128" s="15"/>
      <c r="H128" s="16"/>
      <c r="I128" s="16" t="str">
        <f>IF(E128="","",IFERROR(INDEX(tblProductos[PRECIO_VENTA],MATCH(E128,tblProductos[ITEM],0)),""))</f>
        <v/>
      </c>
      <c r="J128" s="16" t="str">
        <f t="shared" si="6"/>
        <v/>
      </c>
      <c r="K128" s="16" t="str">
        <f t="shared" si="7"/>
        <v/>
      </c>
      <c r="L128" s="16" t="str">
        <f>IF(E128="","",IFERROR(INDEX(tblProductos[COSTO TOTAL],MATCH(E128,tblProductos[ITEM],0)),""))</f>
        <v/>
      </c>
      <c r="M128" s="16" t="str">
        <f t="shared" si="8"/>
        <v/>
      </c>
      <c r="N128" s="16" t="str">
        <f t="shared" si="9"/>
        <v/>
      </c>
      <c r="O128" s="14" t="s">
        <v>34</v>
      </c>
      <c r="P128" s="14" t="s">
        <v>35</v>
      </c>
      <c r="Q128" s="14" t="s">
        <v>36</v>
      </c>
      <c r="R128" s="14"/>
      <c r="S128" t="str">
        <f>IF(E128="","",IFERROR(INDEX(tblProductos[STOCK_ACTUAL],MATCH(E128,tblProductos[ITEM],0)),""))</f>
        <v/>
      </c>
    </row>
    <row r="129" spans="1:19" x14ac:dyDescent="0.3">
      <c r="A129" s="40"/>
      <c r="B129" s="14" t="str">
        <f t="shared" si="5"/>
        <v/>
      </c>
      <c r="C129" s="14" t="str">
        <f>IF(D129="","",IFERROR(INDEX(tblClientes[ID],MATCH(D129,tblClientes[NOMBRE],0)),""))</f>
        <v/>
      </c>
      <c r="D129" s="14"/>
      <c r="E129" s="14"/>
      <c r="F129" s="14" t="str">
        <f>IF(E129="","",IFERROR(INDEX(tblProductos[CATEGORIA],MATCH(E129,tblProductos[ITEM],0)),""))</f>
        <v/>
      </c>
      <c r="G129" s="15"/>
      <c r="H129" s="16"/>
      <c r="I129" s="16" t="str">
        <f>IF(E129="","",IFERROR(INDEX(tblProductos[PRECIO_VENTA],MATCH(E129,tblProductos[ITEM],0)),""))</f>
        <v/>
      </c>
      <c r="J129" s="16" t="str">
        <f t="shared" si="6"/>
        <v/>
      </c>
      <c r="K129" s="16" t="str">
        <f t="shared" si="7"/>
        <v/>
      </c>
      <c r="L129" s="16" t="str">
        <f>IF(E129="","",IFERROR(INDEX(tblProductos[COSTO TOTAL],MATCH(E129,tblProductos[ITEM],0)),""))</f>
        <v/>
      </c>
      <c r="M129" s="16" t="str">
        <f t="shared" si="8"/>
        <v/>
      </c>
      <c r="N129" s="16" t="str">
        <f t="shared" si="9"/>
        <v/>
      </c>
      <c r="O129" s="14" t="s">
        <v>34</v>
      </c>
      <c r="P129" s="14" t="s">
        <v>35</v>
      </c>
      <c r="Q129" s="14" t="s">
        <v>36</v>
      </c>
      <c r="R129" s="14"/>
      <c r="S129" t="str">
        <f>IF(E129="","",IFERROR(INDEX(tblProductos[STOCK_ACTUAL],MATCH(E129,tblProductos[ITEM],0)),""))</f>
        <v/>
      </c>
    </row>
    <row r="130" spans="1:19" x14ac:dyDescent="0.3">
      <c r="A130" s="40"/>
      <c r="B130" s="14" t="str">
        <f t="shared" ref="B130:B193" si="10">IF(A130="","", "V"&amp;TEXT(A130,"yymmdd")&amp;"-"&amp;TEXT(ROW()-1,"0000"))</f>
        <v/>
      </c>
      <c r="C130" s="14" t="str">
        <f>IF(D130="","",IFERROR(INDEX(tblClientes[ID],MATCH(D130,tblClientes[NOMBRE],0)),""))</f>
        <v/>
      </c>
      <c r="D130" s="14"/>
      <c r="E130" s="14"/>
      <c r="F130" s="14" t="str">
        <f>IF(E130="","",IFERROR(INDEX(tblProductos[CATEGORIA],MATCH(E130,tblProductos[ITEM],0)),""))</f>
        <v/>
      </c>
      <c r="G130" s="15"/>
      <c r="H130" s="16"/>
      <c r="I130" s="16" t="str">
        <f>IF(E130="","",IFERROR(INDEX(tblProductos[PRECIO_VENTA],MATCH(E130,tblProductos[ITEM],0)),""))</f>
        <v/>
      </c>
      <c r="J130" s="16" t="str">
        <f t="shared" ref="J130:J193" si="11">IF(H130="",I130,H130)</f>
        <v/>
      </c>
      <c r="K130" s="16" t="str">
        <f t="shared" ref="K130:K193" si="12">IF(G130="","",G130*J130)</f>
        <v/>
      </c>
      <c r="L130" s="16" t="str">
        <f>IF(E130="","",IFERROR(INDEX(tblProductos[COSTO TOTAL],MATCH(E130,tblProductos[ITEM],0)),""))</f>
        <v/>
      </c>
      <c r="M130" s="16" t="str">
        <f t="shared" ref="M130:M193" si="13">IF(G130="","",G130*L130)</f>
        <v/>
      </c>
      <c r="N130" s="16" t="str">
        <f t="shared" ref="N130:N193" si="14">IF(K130="","",K130-M130)</f>
        <v/>
      </c>
      <c r="O130" s="14" t="s">
        <v>34</v>
      </c>
      <c r="P130" s="14" t="s">
        <v>35</v>
      </c>
      <c r="Q130" s="14" t="s">
        <v>36</v>
      </c>
      <c r="R130" s="14"/>
      <c r="S130" t="str">
        <f>IF(E130="","",IFERROR(INDEX(tblProductos[STOCK_ACTUAL],MATCH(E130,tblProductos[ITEM],0)),""))</f>
        <v/>
      </c>
    </row>
    <row r="131" spans="1:19" x14ac:dyDescent="0.3">
      <c r="A131" s="40"/>
      <c r="B131" s="14" t="str">
        <f t="shared" si="10"/>
        <v/>
      </c>
      <c r="C131" s="14" t="str">
        <f>IF(D131="","",IFERROR(INDEX(tblClientes[ID],MATCH(D131,tblClientes[NOMBRE],0)),""))</f>
        <v/>
      </c>
      <c r="D131" s="14"/>
      <c r="E131" s="14"/>
      <c r="F131" s="14" t="str">
        <f>IF(E131="","",IFERROR(INDEX(tblProductos[CATEGORIA],MATCH(E131,tblProductos[ITEM],0)),""))</f>
        <v/>
      </c>
      <c r="G131" s="15"/>
      <c r="H131" s="16"/>
      <c r="I131" s="16" t="str">
        <f>IF(E131="","",IFERROR(INDEX(tblProductos[PRECIO_VENTA],MATCH(E131,tblProductos[ITEM],0)),""))</f>
        <v/>
      </c>
      <c r="J131" s="16" t="str">
        <f t="shared" si="11"/>
        <v/>
      </c>
      <c r="K131" s="16" t="str">
        <f t="shared" si="12"/>
        <v/>
      </c>
      <c r="L131" s="16" t="str">
        <f>IF(E131="","",IFERROR(INDEX(tblProductos[COSTO TOTAL],MATCH(E131,tblProductos[ITEM],0)),""))</f>
        <v/>
      </c>
      <c r="M131" s="16" t="str">
        <f t="shared" si="13"/>
        <v/>
      </c>
      <c r="N131" s="16" t="str">
        <f t="shared" si="14"/>
        <v/>
      </c>
      <c r="O131" s="14" t="s">
        <v>34</v>
      </c>
      <c r="P131" s="14" t="s">
        <v>35</v>
      </c>
      <c r="Q131" s="14" t="s">
        <v>36</v>
      </c>
      <c r="R131" s="14"/>
      <c r="S131" t="str">
        <f>IF(E131="","",IFERROR(INDEX(tblProductos[STOCK_ACTUAL],MATCH(E131,tblProductos[ITEM],0)),""))</f>
        <v/>
      </c>
    </row>
    <row r="132" spans="1:19" x14ac:dyDescent="0.3">
      <c r="A132" s="40"/>
      <c r="B132" s="14" t="str">
        <f t="shared" si="10"/>
        <v/>
      </c>
      <c r="C132" s="14" t="str">
        <f>IF(D132="","",IFERROR(INDEX(tblClientes[ID],MATCH(D132,tblClientes[NOMBRE],0)),""))</f>
        <v/>
      </c>
      <c r="D132" s="14"/>
      <c r="E132" s="14"/>
      <c r="F132" s="14" t="str">
        <f>IF(E132="","",IFERROR(INDEX(tblProductos[CATEGORIA],MATCH(E132,tblProductos[ITEM],0)),""))</f>
        <v/>
      </c>
      <c r="G132" s="15"/>
      <c r="H132" s="16"/>
      <c r="I132" s="16" t="str">
        <f>IF(E132="","",IFERROR(INDEX(tblProductos[PRECIO_VENTA],MATCH(E132,tblProductos[ITEM],0)),""))</f>
        <v/>
      </c>
      <c r="J132" s="16" t="str">
        <f t="shared" si="11"/>
        <v/>
      </c>
      <c r="K132" s="16" t="str">
        <f t="shared" si="12"/>
        <v/>
      </c>
      <c r="L132" s="16" t="str">
        <f>IF(E132="","",IFERROR(INDEX(tblProductos[COSTO TOTAL],MATCH(E132,tblProductos[ITEM],0)),""))</f>
        <v/>
      </c>
      <c r="M132" s="16" t="str">
        <f t="shared" si="13"/>
        <v/>
      </c>
      <c r="N132" s="16" t="str">
        <f t="shared" si="14"/>
        <v/>
      </c>
      <c r="O132" s="14" t="s">
        <v>34</v>
      </c>
      <c r="P132" s="14" t="s">
        <v>35</v>
      </c>
      <c r="Q132" s="14" t="s">
        <v>36</v>
      </c>
      <c r="R132" s="14"/>
      <c r="S132" t="str">
        <f>IF(E132="","",IFERROR(INDEX(tblProductos[STOCK_ACTUAL],MATCH(E132,tblProductos[ITEM],0)),""))</f>
        <v/>
      </c>
    </row>
    <row r="133" spans="1:19" x14ac:dyDescent="0.3">
      <c r="A133" s="40"/>
      <c r="B133" s="14" t="str">
        <f t="shared" si="10"/>
        <v/>
      </c>
      <c r="C133" s="14" t="str">
        <f>IF(D133="","",IFERROR(INDEX(tblClientes[ID],MATCH(D133,tblClientes[NOMBRE],0)),""))</f>
        <v/>
      </c>
      <c r="D133" s="14"/>
      <c r="E133" s="14"/>
      <c r="F133" s="14" t="str">
        <f>IF(E133="","",IFERROR(INDEX(tblProductos[CATEGORIA],MATCH(E133,tblProductos[ITEM],0)),""))</f>
        <v/>
      </c>
      <c r="G133" s="15"/>
      <c r="H133" s="16"/>
      <c r="I133" s="16" t="str">
        <f>IF(E133="","",IFERROR(INDEX(tblProductos[PRECIO_VENTA],MATCH(E133,tblProductos[ITEM],0)),""))</f>
        <v/>
      </c>
      <c r="J133" s="16" t="str">
        <f t="shared" si="11"/>
        <v/>
      </c>
      <c r="K133" s="16" t="str">
        <f t="shared" si="12"/>
        <v/>
      </c>
      <c r="L133" s="16" t="str">
        <f>IF(E133="","",IFERROR(INDEX(tblProductos[COSTO TOTAL],MATCH(E133,tblProductos[ITEM],0)),""))</f>
        <v/>
      </c>
      <c r="M133" s="16" t="str">
        <f t="shared" si="13"/>
        <v/>
      </c>
      <c r="N133" s="16" t="str">
        <f t="shared" si="14"/>
        <v/>
      </c>
      <c r="O133" s="14" t="s">
        <v>34</v>
      </c>
      <c r="P133" s="14" t="s">
        <v>35</v>
      </c>
      <c r="Q133" s="14" t="s">
        <v>36</v>
      </c>
      <c r="R133" s="14"/>
      <c r="S133" t="str">
        <f>IF(E133="","",IFERROR(INDEX(tblProductos[STOCK_ACTUAL],MATCH(E133,tblProductos[ITEM],0)),""))</f>
        <v/>
      </c>
    </row>
    <row r="134" spans="1:19" x14ac:dyDescent="0.3">
      <c r="A134" s="40"/>
      <c r="B134" s="14" t="str">
        <f t="shared" si="10"/>
        <v/>
      </c>
      <c r="C134" s="14" t="str">
        <f>IF(D134="","",IFERROR(INDEX(tblClientes[ID],MATCH(D134,tblClientes[NOMBRE],0)),""))</f>
        <v/>
      </c>
      <c r="D134" s="14"/>
      <c r="E134" s="14"/>
      <c r="F134" s="14" t="str">
        <f>IF(E134="","",IFERROR(INDEX(tblProductos[CATEGORIA],MATCH(E134,tblProductos[ITEM],0)),""))</f>
        <v/>
      </c>
      <c r="G134" s="15"/>
      <c r="H134" s="16"/>
      <c r="I134" s="16" t="str">
        <f>IF(E134="","",IFERROR(INDEX(tblProductos[PRECIO_VENTA],MATCH(E134,tblProductos[ITEM],0)),""))</f>
        <v/>
      </c>
      <c r="J134" s="16" t="str">
        <f t="shared" si="11"/>
        <v/>
      </c>
      <c r="K134" s="16" t="str">
        <f t="shared" si="12"/>
        <v/>
      </c>
      <c r="L134" s="16" t="str">
        <f>IF(E134="","",IFERROR(INDEX(tblProductos[COSTO TOTAL],MATCH(E134,tblProductos[ITEM],0)),""))</f>
        <v/>
      </c>
      <c r="M134" s="16" t="str">
        <f t="shared" si="13"/>
        <v/>
      </c>
      <c r="N134" s="16" t="str">
        <f t="shared" si="14"/>
        <v/>
      </c>
      <c r="O134" s="14" t="s">
        <v>34</v>
      </c>
      <c r="P134" s="14" t="s">
        <v>35</v>
      </c>
      <c r="Q134" s="14" t="s">
        <v>36</v>
      </c>
      <c r="R134" s="14"/>
      <c r="S134" t="str">
        <f>IF(E134="","",IFERROR(INDEX(tblProductos[STOCK_ACTUAL],MATCH(E134,tblProductos[ITEM],0)),""))</f>
        <v/>
      </c>
    </row>
    <row r="135" spans="1:19" x14ac:dyDescent="0.3">
      <c r="A135" s="40"/>
      <c r="B135" s="14" t="str">
        <f t="shared" si="10"/>
        <v/>
      </c>
      <c r="C135" s="14" t="str">
        <f>IF(D135="","",IFERROR(INDEX(tblClientes[ID],MATCH(D135,tblClientes[NOMBRE],0)),""))</f>
        <v/>
      </c>
      <c r="D135" s="14"/>
      <c r="E135" s="14"/>
      <c r="F135" s="14" t="str">
        <f>IF(E135="","",IFERROR(INDEX(tblProductos[CATEGORIA],MATCH(E135,tblProductos[ITEM],0)),""))</f>
        <v/>
      </c>
      <c r="G135" s="15"/>
      <c r="H135" s="16"/>
      <c r="I135" s="16" t="str">
        <f>IF(E135="","",IFERROR(INDEX(tblProductos[PRECIO_VENTA],MATCH(E135,tblProductos[ITEM],0)),""))</f>
        <v/>
      </c>
      <c r="J135" s="16" t="str">
        <f t="shared" si="11"/>
        <v/>
      </c>
      <c r="K135" s="16" t="str">
        <f t="shared" si="12"/>
        <v/>
      </c>
      <c r="L135" s="16" t="str">
        <f>IF(E135="","",IFERROR(INDEX(tblProductos[COSTO TOTAL],MATCH(E135,tblProductos[ITEM],0)),""))</f>
        <v/>
      </c>
      <c r="M135" s="16" t="str">
        <f t="shared" si="13"/>
        <v/>
      </c>
      <c r="N135" s="16" t="str">
        <f t="shared" si="14"/>
        <v/>
      </c>
      <c r="O135" s="14" t="s">
        <v>34</v>
      </c>
      <c r="P135" s="14" t="s">
        <v>35</v>
      </c>
      <c r="Q135" s="14" t="s">
        <v>36</v>
      </c>
      <c r="R135" s="14"/>
      <c r="S135" t="str">
        <f>IF(E135="","",IFERROR(INDEX(tblProductos[STOCK_ACTUAL],MATCH(E135,tblProductos[ITEM],0)),""))</f>
        <v/>
      </c>
    </row>
    <row r="136" spans="1:19" x14ac:dyDescent="0.3">
      <c r="A136" s="40"/>
      <c r="B136" s="14" t="str">
        <f t="shared" si="10"/>
        <v/>
      </c>
      <c r="C136" s="14" t="str">
        <f>IF(D136="","",IFERROR(INDEX(tblClientes[ID],MATCH(D136,tblClientes[NOMBRE],0)),""))</f>
        <v/>
      </c>
      <c r="D136" s="14"/>
      <c r="E136" s="14"/>
      <c r="F136" s="14" t="str">
        <f>IF(E136="","",IFERROR(INDEX(tblProductos[CATEGORIA],MATCH(E136,tblProductos[ITEM],0)),""))</f>
        <v/>
      </c>
      <c r="G136" s="15"/>
      <c r="H136" s="16"/>
      <c r="I136" s="16" t="str">
        <f>IF(E136="","",IFERROR(INDEX(tblProductos[PRECIO_VENTA],MATCH(E136,tblProductos[ITEM],0)),""))</f>
        <v/>
      </c>
      <c r="J136" s="16" t="str">
        <f t="shared" si="11"/>
        <v/>
      </c>
      <c r="K136" s="16" t="str">
        <f t="shared" si="12"/>
        <v/>
      </c>
      <c r="L136" s="16" t="str">
        <f>IF(E136="","",IFERROR(INDEX(tblProductos[COSTO TOTAL],MATCH(E136,tblProductos[ITEM],0)),""))</f>
        <v/>
      </c>
      <c r="M136" s="16" t="str">
        <f t="shared" si="13"/>
        <v/>
      </c>
      <c r="N136" s="16" t="str">
        <f t="shared" si="14"/>
        <v/>
      </c>
      <c r="O136" s="14" t="s">
        <v>34</v>
      </c>
      <c r="P136" s="14" t="s">
        <v>35</v>
      </c>
      <c r="Q136" s="14" t="s">
        <v>36</v>
      </c>
      <c r="R136" s="14"/>
      <c r="S136" t="str">
        <f>IF(E136="","",IFERROR(INDEX(tblProductos[STOCK_ACTUAL],MATCH(E136,tblProductos[ITEM],0)),""))</f>
        <v/>
      </c>
    </row>
    <row r="137" spans="1:19" x14ac:dyDescent="0.3">
      <c r="A137" s="40"/>
      <c r="B137" s="14" t="str">
        <f t="shared" si="10"/>
        <v/>
      </c>
      <c r="C137" s="14" t="str">
        <f>IF(D137="","",IFERROR(INDEX(tblClientes[ID],MATCH(D137,tblClientes[NOMBRE],0)),""))</f>
        <v/>
      </c>
      <c r="D137" s="14"/>
      <c r="E137" s="14"/>
      <c r="F137" s="14" t="str">
        <f>IF(E137="","",IFERROR(INDEX(tblProductos[CATEGORIA],MATCH(E137,tblProductos[ITEM],0)),""))</f>
        <v/>
      </c>
      <c r="G137" s="15"/>
      <c r="H137" s="16"/>
      <c r="I137" s="16" t="str">
        <f>IF(E137="","",IFERROR(INDEX(tblProductos[PRECIO_VENTA],MATCH(E137,tblProductos[ITEM],0)),""))</f>
        <v/>
      </c>
      <c r="J137" s="16" t="str">
        <f t="shared" si="11"/>
        <v/>
      </c>
      <c r="K137" s="16" t="str">
        <f t="shared" si="12"/>
        <v/>
      </c>
      <c r="L137" s="16" t="str">
        <f>IF(E137="","",IFERROR(INDEX(tblProductos[COSTO TOTAL],MATCH(E137,tblProductos[ITEM],0)),""))</f>
        <v/>
      </c>
      <c r="M137" s="16" t="str">
        <f t="shared" si="13"/>
        <v/>
      </c>
      <c r="N137" s="16" t="str">
        <f t="shared" si="14"/>
        <v/>
      </c>
      <c r="O137" s="14" t="s">
        <v>34</v>
      </c>
      <c r="P137" s="14" t="s">
        <v>35</v>
      </c>
      <c r="Q137" s="14" t="s">
        <v>36</v>
      </c>
      <c r="R137" s="14"/>
      <c r="S137" t="str">
        <f>IF(E137="","",IFERROR(INDEX(tblProductos[STOCK_ACTUAL],MATCH(E137,tblProductos[ITEM],0)),""))</f>
        <v/>
      </c>
    </row>
    <row r="138" spans="1:19" x14ac:dyDescent="0.3">
      <c r="A138" s="40"/>
      <c r="B138" s="14" t="str">
        <f t="shared" si="10"/>
        <v/>
      </c>
      <c r="C138" s="14" t="str">
        <f>IF(D138="","",IFERROR(INDEX(tblClientes[ID],MATCH(D138,tblClientes[NOMBRE],0)),""))</f>
        <v/>
      </c>
      <c r="D138" s="14"/>
      <c r="E138" s="14"/>
      <c r="F138" s="14" t="str">
        <f>IF(E138="","",IFERROR(INDEX(tblProductos[CATEGORIA],MATCH(E138,tblProductos[ITEM],0)),""))</f>
        <v/>
      </c>
      <c r="G138" s="15"/>
      <c r="H138" s="16"/>
      <c r="I138" s="16" t="str">
        <f>IF(E138="","",IFERROR(INDEX(tblProductos[PRECIO_VENTA],MATCH(E138,tblProductos[ITEM],0)),""))</f>
        <v/>
      </c>
      <c r="J138" s="16" t="str">
        <f t="shared" si="11"/>
        <v/>
      </c>
      <c r="K138" s="16" t="str">
        <f t="shared" si="12"/>
        <v/>
      </c>
      <c r="L138" s="16" t="str">
        <f>IF(E138="","",IFERROR(INDEX(tblProductos[COSTO TOTAL],MATCH(E138,tblProductos[ITEM],0)),""))</f>
        <v/>
      </c>
      <c r="M138" s="16" t="str">
        <f t="shared" si="13"/>
        <v/>
      </c>
      <c r="N138" s="16" t="str">
        <f t="shared" si="14"/>
        <v/>
      </c>
      <c r="O138" s="14" t="s">
        <v>34</v>
      </c>
      <c r="P138" s="14" t="s">
        <v>35</v>
      </c>
      <c r="Q138" s="14" t="s">
        <v>36</v>
      </c>
      <c r="R138" s="14"/>
      <c r="S138" t="str">
        <f>IF(E138="","",IFERROR(INDEX(tblProductos[STOCK_ACTUAL],MATCH(E138,tblProductos[ITEM],0)),""))</f>
        <v/>
      </c>
    </row>
    <row r="139" spans="1:19" x14ac:dyDescent="0.3">
      <c r="A139" s="40"/>
      <c r="B139" s="14" t="str">
        <f t="shared" si="10"/>
        <v/>
      </c>
      <c r="C139" s="14" t="str">
        <f>IF(D139="","",IFERROR(INDEX(tblClientes[ID],MATCH(D139,tblClientes[NOMBRE],0)),""))</f>
        <v/>
      </c>
      <c r="D139" s="14"/>
      <c r="E139" s="14"/>
      <c r="F139" s="14" t="str">
        <f>IF(E139="","",IFERROR(INDEX(tblProductos[CATEGORIA],MATCH(E139,tblProductos[ITEM],0)),""))</f>
        <v/>
      </c>
      <c r="G139" s="15"/>
      <c r="H139" s="16"/>
      <c r="I139" s="16" t="str">
        <f>IF(E139="","",IFERROR(INDEX(tblProductos[PRECIO_VENTA],MATCH(E139,tblProductos[ITEM],0)),""))</f>
        <v/>
      </c>
      <c r="J139" s="16" t="str">
        <f t="shared" si="11"/>
        <v/>
      </c>
      <c r="K139" s="16" t="str">
        <f t="shared" si="12"/>
        <v/>
      </c>
      <c r="L139" s="16" t="str">
        <f>IF(E139="","",IFERROR(INDEX(tblProductos[COSTO TOTAL],MATCH(E139,tblProductos[ITEM],0)),""))</f>
        <v/>
      </c>
      <c r="M139" s="16" t="str">
        <f t="shared" si="13"/>
        <v/>
      </c>
      <c r="N139" s="16" t="str">
        <f t="shared" si="14"/>
        <v/>
      </c>
      <c r="O139" s="14" t="s">
        <v>34</v>
      </c>
      <c r="P139" s="14" t="s">
        <v>35</v>
      </c>
      <c r="Q139" s="14" t="s">
        <v>36</v>
      </c>
      <c r="R139" s="14"/>
      <c r="S139" t="str">
        <f>IF(E139="","",IFERROR(INDEX(tblProductos[STOCK_ACTUAL],MATCH(E139,tblProductos[ITEM],0)),""))</f>
        <v/>
      </c>
    </row>
    <row r="140" spans="1:19" x14ac:dyDescent="0.3">
      <c r="A140" s="40"/>
      <c r="B140" s="14" t="str">
        <f t="shared" si="10"/>
        <v/>
      </c>
      <c r="C140" s="14" t="str">
        <f>IF(D140="","",IFERROR(INDEX(tblClientes[ID],MATCH(D140,tblClientes[NOMBRE],0)),""))</f>
        <v/>
      </c>
      <c r="D140" s="14"/>
      <c r="E140" s="14"/>
      <c r="F140" s="14" t="str">
        <f>IF(E140="","",IFERROR(INDEX(tblProductos[CATEGORIA],MATCH(E140,tblProductos[ITEM],0)),""))</f>
        <v/>
      </c>
      <c r="G140" s="15"/>
      <c r="H140" s="16"/>
      <c r="I140" s="16" t="str">
        <f>IF(E140="","",IFERROR(INDEX(tblProductos[PRECIO_VENTA],MATCH(E140,tblProductos[ITEM],0)),""))</f>
        <v/>
      </c>
      <c r="J140" s="16" t="str">
        <f t="shared" si="11"/>
        <v/>
      </c>
      <c r="K140" s="16" t="str">
        <f t="shared" si="12"/>
        <v/>
      </c>
      <c r="L140" s="16" t="str">
        <f>IF(E140="","",IFERROR(INDEX(tblProductos[COSTO TOTAL],MATCH(E140,tblProductos[ITEM],0)),""))</f>
        <v/>
      </c>
      <c r="M140" s="16" t="str">
        <f t="shared" si="13"/>
        <v/>
      </c>
      <c r="N140" s="16" t="str">
        <f t="shared" si="14"/>
        <v/>
      </c>
      <c r="O140" s="14" t="s">
        <v>34</v>
      </c>
      <c r="P140" s="14" t="s">
        <v>35</v>
      </c>
      <c r="Q140" s="14" t="s">
        <v>36</v>
      </c>
      <c r="R140" s="14"/>
      <c r="S140" t="str">
        <f>IF(E140="","",IFERROR(INDEX(tblProductos[STOCK_ACTUAL],MATCH(E140,tblProductos[ITEM],0)),""))</f>
        <v/>
      </c>
    </row>
    <row r="141" spans="1:19" x14ac:dyDescent="0.3">
      <c r="A141" s="40"/>
      <c r="B141" s="14" t="str">
        <f t="shared" si="10"/>
        <v/>
      </c>
      <c r="C141" s="14" t="str">
        <f>IF(D141="","",IFERROR(INDEX(tblClientes[ID],MATCH(D141,tblClientes[NOMBRE],0)),""))</f>
        <v/>
      </c>
      <c r="D141" s="14"/>
      <c r="E141" s="14"/>
      <c r="F141" s="14" t="str">
        <f>IF(E141="","",IFERROR(INDEX(tblProductos[CATEGORIA],MATCH(E141,tblProductos[ITEM],0)),""))</f>
        <v/>
      </c>
      <c r="G141" s="15"/>
      <c r="H141" s="16"/>
      <c r="I141" s="16" t="str">
        <f>IF(E141="","",IFERROR(INDEX(tblProductos[PRECIO_VENTA],MATCH(E141,tblProductos[ITEM],0)),""))</f>
        <v/>
      </c>
      <c r="J141" s="16" t="str">
        <f t="shared" si="11"/>
        <v/>
      </c>
      <c r="K141" s="16" t="str">
        <f t="shared" si="12"/>
        <v/>
      </c>
      <c r="L141" s="16" t="str">
        <f>IF(E141="","",IFERROR(INDEX(tblProductos[COSTO TOTAL],MATCH(E141,tblProductos[ITEM],0)),""))</f>
        <v/>
      </c>
      <c r="M141" s="16" t="str">
        <f t="shared" si="13"/>
        <v/>
      </c>
      <c r="N141" s="16" t="str">
        <f t="shared" si="14"/>
        <v/>
      </c>
      <c r="O141" s="14" t="s">
        <v>34</v>
      </c>
      <c r="P141" s="14" t="s">
        <v>35</v>
      </c>
      <c r="Q141" s="14" t="s">
        <v>36</v>
      </c>
      <c r="R141" s="14"/>
      <c r="S141" t="str">
        <f>IF(E141="","",IFERROR(INDEX(tblProductos[STOCK_ACTUAL],MATCH(E141,tblProductos[ITEM],0)),""))</f>
        <v/>
      </c>
    </row>
    <row r="142" spans="1:19" x14ac:dyDescent="0.3">
      <c r="A142" s="40"/>
      <c r="B142" s="14" t="str">
        <f t="shared" si="10"/>
        <v/>
      </c>
      <c r="C142" s="14" t="str">
        <f>IF(D142="","",IFERROR(INDEX(tblClientes[ID],MATCH(D142,tblClientes[NOMBRE],0)),""))</f>
        <v/>
      </c>
      <c r="D142" s="14"/>
      <c r="E142" s="14"/>
      <c r="F142" s="14" t="str">
        <f>IF(E142="","",IFERROR(INDEX(tblProductos[CATEGORIA],MATCH(E142,tblProductos[ITEM],0)),""))</f>
        <v/>
      </c>
      <c r="G142" s="15"/>
      <c r="H142" s="16"/>
      <c r="I142" s="16" t="str">
        <f>IF(E142="","",IFERROR(INDEX(tblProductos[PRECIO_VENTA],MATCH(E142,tblProductos[ITEM],0)),""))</f>
        <v/>
      </c>
      <c r="J142" s="16" t="str">
        <f t="shared" si="11"/>
        <v/>
      </c>
      <c r="K142" s="16" t="str">
        <f t="shared" si="12"/>
        <v/>
      </c>
      <c r="L142" s="16" t="str">
        <f>IF(E142="","",IFERROR(INDEX(tblProductos[COSTO TOTAL],MATCH(E142,tblProductos[ITEM],0)),""))</f>
        <v/>
      </c>
      <c r="M142" s="16" t="str">
        <f t="shared" si="13"/>
        <v/>
      </c>
      <c r="N142" s="16" t="str">
        <f t="shared" si="14"/>
        <v/>
      </c>
      <c r="O142" s="14" t="s">
        <v>34</v>
      </c>
      <c r="P142" s="14" t="s">
        <v>35</v>
      </c>
      <c r="Q142" s="14" t="s">
        <v>36</v>
      </c>
      <c r="R142" s="14"/>
      <c r="S142" t="str">
        <f>IF(E142="","",IFERROR(INDEX(tblProductos[STOCK_ACTUAL],MATCH(E142,tblProductos[ITEM],0)),""))</f>
        <v/>
      </c>
    </row>
    <row r="143" spans="1:19" x14ac:dyDescent="0.3">
      <c r="A143" s="40"/>
      <c r="B143" s="14" t="str">
        <f t="shared" si="10"/>
        <v/>
      </c>
      <c r="C143" s="14" t="str">
        <f>IF(D143="","",IFERROR(INDEX(tblClientes[ID],MATCH(D143,tblClientes[NOMBRE],0)),""))</f>
        <v/>
      </c>
      <c r="D143" s="14"/>
      <c r="E143" s="14"/>
      <c r="F143" s="14" t="str">
        <f>IF(E143="","",IFERROR(INDEX(tblProductos[CATEGORIA],MATCH(E143,tblProductos[ITEM],0)),""))</f>
        <v/>
      </c>
      <c r="G143" s="15"/>
      <c r="H143" s="16"/>
      <c r="I143" s="16" t="str">
        <f>IF(E143="","",IFERROR(INDEX(tblProductos[PRECIO_VENTA],MATCH(E143,tblProductos[ITEM],0)),""))</f>
        <v/>
      </c>
      <c r="J143" s="16" t="str">
        <f t="shared" si="11"/>
        <v/>
      </c>
      <c r="K143" s="16" t="str">
        <f t="shared" si="12"/>
        <v/>
      </c>
      <c r="L143" s="16" t="str">
        <f>IF(E143="","",IFERROR(INDEX(tblProductos[COSTO TOTAL],MATCH(E143,tblProductos[ITEM],0)),""))</f>
        <v/>
      </c>
      <c r="M143" s="16" t="str">
        <f t="shared" si="13"/>
        <v/>
      </c>
      <c r="N143" s="16" t="str">
        <f t="shared" si="14"/>
        <v/>
      </c>
      <c r="O143" s="14" t="s">
        <v>34</v>
      </c>
      <c r="P143" s="14" t="s">
        <v>35</v>
      </c>
      <c r="Q143" s="14" t="s">
        <v>36</v>
      </c>
      <c r="R143" s="14"/>
      <c r="S143" t="str">
        <f>IF(E143="","",IFERROR(INDEX(tblProductos[STOCK_ACTUAL],MATCH(E143,tblProductos[ITEM],0)),""))</f>
        <v/>
      </c>
    </row>
    <row r="144" spans="1:19" x14ac:dyDescent="0.3">
      <c r="A144" s="40"/>
      <c r="B144" s="14" t="str">
        <f t="shared" si="10"/>
        <v/>
      </c>
      <c r="C144" s="14" t="str">
        <f>IF(D144="","",IFERROR(INDEX(tblClientes[ID],MATCH(D144,tblClientes[NOMBRE],0)),""))</f>
        <v/>
      </c>
      <c r="D144" s="14"/>
      <c r="E144" s="14"/>
      <c r="F144" s="14" t="str">
        <f>IF(E144="","",IFERROR(INDEX(tblProductos[CATEGORIA],MATCH(E144,tblProductos[ITEM],0)),""))</f>
        <v/>
      </c>
      <c r="G144" s="15"/>
      <c r="H144" s="16"/>
      <c r="I144" s="16" t="str">
        <f>IF(E144="","",IFERROR(INDEX(tblProductos[PRECIO_VENTA],MATCH(E144,tblProductos[ITEM],0)),""))</f>
        <v/>
      </c>
      <c r="J144" s="16" t="str">
        <f t="shared" si="11"/>
        <v/>
      </c>
      <c r="K144" s="16" t="str">
        <f t="shared" si="12"/>
        <v/>
      </c>
      <c r="L144" s="16" t="str">
        <f>IF(E144="","",IFERROR(INDEX(tblProductos[COSTO TOTAL],MATCH(E144,tblProductos[ITEM],0)),""))</f>
        <v/>
      </c>
      <c r="M144" s="16" t="str">
        <f t="shared" si="13"/>
        <v/>
      </c>
      <c r="N144" s="16" t="str">
        <f t="shared" si="14"/>
        <v/>
      </c>
      <c r="O144" s="14" t="s">
        <v>34</v>
      </c>
      <c r="P144" s="14" t="s">
        <v>35</v>
      </c>
      <c r="Q144" s="14" t="s">
        <v>36</v>
      </c>
      <c r="R144" s="14"/>
      <c r="S144" t="str">
        <f>IF(E144="","",IFERROR(INDEX(tblProductos[STOCK_ACTUAL],MATCH(E144,tblProductos[ITEM],0)),""))</f>
        <v/>
      </c>
    </row>
    <row r="145" spans="1:19" x14ac:dyDescent="0.3">
      <c r="A145" s="40"/>
      <c r="B145" s="14" t="str">
        <f t="shared" si="10"/>
        <v/>
      </c>
      <c r="C145" s="14" t="str">
        <f>IF(D145="","",IFERROR(INDEX(tblClientes[ID],MATCH(D145,tblClientes[NOMBRE],0)),""))</f>
        <v/>
      </c>
      <c r="D145" s="14"/>
      <c r="E145" s="14"/>
      <c r="F145" s="14" t="str">
        <f>IF(E145="","",IFERROR(INDEX(tblProductos[CATEGORIA],MATCH(E145,tblProductos[ITEM],0)),""))</f>
        <v/>
      </c>
      <c r="G145" s="15"/>
      <c r="H145" s="16"/>
      <c r="I145" s="16" t="str">
        <f>IF(E145="","",IFERROR(INDEX(tblProductos[PRECIO_VENTA],MATCH(E145,tblProductos[ITEM],0)),""))</f>
        <v/>
      </c>
      <c r="J145" s="16" t="str">
        <f t="shared" si="11"/>
        <v/>
      </c>
      <c r="K145" s="16" t="str">
        <f t="shared" si="12"/>
        <v/>
      </c>
      <c r="L145" s="16" t="str">
        <f>IF(E145="","",IFERROR(INDEX(tblProductos[COSTO TOTAL],MATCH(E145,tblProductos[ITEM],0)),""))</f>
        <v/>
      </c>
      <c r="M145" s="16" t="str">
        <f t="shared" si="13"/>
        <v/>
      </c>
      <c r="N145" s="16" t="str">
        <f t="shared" si="14"/>
        <v/>
      </c>
      <c r="O145" s="14" t="s">
        <v>34</v>
      </c>
      <c r="P145" s="14" t="s">
        <v>35</v>
      </c>
      <c r="Q145" s="14" t="s">
        <v>36</v>
      </c>
      <c r="R145" s="14"/>
      <c r="S145" t="str">
        <f>IF(E145="","",IFERROR(INDEX(tblProductos[STOCK_ACTUAL],MATCH(E145,tblProductos[ITEM],0)),""))</f>
        <v/>
      </c>
    </row>
    <row r="146" spans="1:19" x14ac:dyDescent="0.3">
      <c r="A146" s="40"/>
      <c r="B146" s="14" t="str">
        <f t="shared" si="10"/>
        <v/>
      </c>
      <c r="C146" s="14" t="str">
        <f>IF(D146="","",IFERROR(INDEX(tblClientes[ID],MATCH(D146,tblClientes[NOMBRE],0)),""))</f>
        <v/>
      </c>
      <c r="D146" s="14"/>
      <c r="E146" s="14"/>
      <c r="F146" s="14" t="str">
        <f>IF(E146="","",IFERROR(INDEX(tblProductos[CATEGORIA],MATCH(E146,tblProductos[ITEM],0)),""))</f>
        <v/>
      </c>
      <c r="G146" s="15"/>
      <c r="H146" s="16"/>
      <c r="I146" s="16" t="str">
        <f>IF(E146="","",IFERROR(INDEX(tblProductos[PRECIO_VENTA],MATCH(E146,tblProductos[ITEM],0)),""))</f>
        <v/>
      </c>
      <c r="J146" s="16" t="str">
        <f t="shared" si="11"/>
        <v/>
      </c>
      <c r="K146" s="16" t="str">
        <f t="shared" si="12"/>
        <v/>
      </c>
      <c r="L146" s="16" t="str">
        <f>IF(E146="","",IFERROR(INDEX(tblProductos[COSTO TOTAL],MATCH(E146,tblProductos[ITEM],0)),""))</f>
        <v/>
      </c>
      <c r="M146" s="16" t="str">
        <f t="shared" si="13"/>
        <v/>
      </c>
      <c r="N146" s="16" t="str">
        <f t="shared" si="14"/>
        <v/>
      </c>
      <c r="O146" s="14" t="s">
        <v>34</v>
      </c>
      <c r="P146" s="14" t="s">
        <v>35</v>
      </c>
      <c r="Q146" s="14" t="s">
        <v>36</v>
      </c>
      <c r="R146" s="14"/>
      <c r="S146" t="str">
        <f>IF(E146="","",IFERROR(INDEX(tblProductos[STOCK_ACTUAL],MATCH(E146,tblProductos[ITEM],0)),""))</f>
        <v/>
      </c>
    </row>
    <row r="147" spans="1:19" x14ac:dyDescent="0.3">
      <c r="A147" s="40"/>
      <c r="B147" s="14" t="str">
        <f t="shared" si="10"/>
        <v/>
      </c>
      <c r="C147" s="14" t="str">
        <f>IF(D147="","",IFERROR(INDEX(tblClientes[ID],MATCH(D147,tblClientes[NOMBRE],0)),""))</f>
        <v/>
      </c>
      <c r="D147" s="14"/>
      <c r="E147" s="14"/>
      <c r="F147" s="14" t="str">
        <f>IF(E147="","",IFERROR(INDEX(tblProductos[CATEGORIA],MATCH(E147,tblProductos[ITEM],0)),""))</f>
        <v/>
      </c>
      <c r="G147" s="15"/>
      <c r="H147" s="16"/>
      <c r="I147" s="16" t="str">
        <f>IF(E147="","",IFERROR(INDEX(tblProductos[PRECIO_VENTA],MATCH(E147,tblProductos[ITEM],0)),""))</f>
        <v/>
      </c>
      <c r="J147" s="16" t="str">
        <f t="shared" si="11"/>
        <v/>
      </c>
      <c r="K147" s="16" t="str">
        <f t="shared" si="12"/>
        <v/>
      </c>
      <c r="L147" s="16" t="str">
        <f>IF(E147="","",IFERROR(INDEX(tblProductos[COSTO TOTAL],MATCH(E147,tblProductos[ITEM],0)),""))</f>
        <v/>
      </c>
      <c r="M147" s="16" t="str">
        <f t="shared" si="13"/>
        <v/>
      </c>
      <c r="N147" s="16" t="str">
        <f t="shared" si="14"/>
        <v/>
      </c>
      <c r="O147" s="14" t="s">
        <v>34</v>
      </c>
      <c r="P147" s="14" t="s">
        <v>35</v>
      </c>
      <c r="Q147" s="14" t="s">
        <v>36</v>
      </c>
      <c r="R147" s="14"/>
      <c r="S147" t="str">
        <f>IF(E147="","",IFERROR(INDEX(tblProductos[STOCK_ACTUAL],MATCH(E147,tblProductos[ITEM],0)),""))</f>
        <v/>
      </c>
    </row>
    <row r="148" spans="1:19" x14ac:dyDescent="0.3">
      <c r="A148" s="40"/>
      <c r="B148" s="14" t="str">
        <f t="shared" si="10"/>
        <v/>
      </c>
      <c r="C148" s="14" t="str">
        <f>IF(D148="","",IFERROR(INDEX(tblClientes[ID],MATCH(D148,tblClientes[NOMBRE],0)),""))</f>
        <v/>
      </c>
      <c r="D148" s="14"/>
      <c r="E148" s="14"/>
      <c r="F148" s="14" t="str">
        <f>IF(E148="","",IFERROR(INDEX(tblProductos[CATEGORIA],MATCH(E148,tblProductos[ITEM],0)),""))</f>
        <v/>
      </c>
      <c r="G148" s="15"/>
      <c r="H148" s="16"/>
      <c r="I148" s="16" t="str">
        <f>IF(E148="","",IFERROR(INDEX(tblProductos[PRECIO_VENTA],MATCH(E148,tblProductos[ITEM],0)),""))</f>
        <v/>
      </c>
      <c r="J148" s="16" t="str">
        <f t="shared" si="11"/>
        <v/>
      </c>
      <c r="K148" s="16" t="str">
        <f t="shared" si="12"/>
        <v/>
      </c>
      <c r="L148" s="16" t="str">
        <f>IF(E148="","",IFERROR(INDEX(tblProductos[COSTO TOTAL],MATCH(E148,tblProductos[ITEM],0)),""))</f>
        <v/>
      </c>
      <c r="M148" s="16" t="str">
        <f t="shared" si="13"/>
        <v/>
      </c>
      <c r="N148" s="16" t="str">
        <f t="shared" si="14"/>
        <v/>
      </c>
      <c r="O148" s="14" t="s">
        <v>34</v>
      </c>
      <c r="P148" s="14" t="s">
        <v>35</v>
      </c>
      <c r="Q148" s="14" t="s">
        <v>36</v>
      </c>
      <c r="R148" s="14"/>
      <c r="S148" t="str">
        <f>IF(E148="","",IFERROR(INDEX(tblProductos[STOCK_ACTUAL],MATCH(E148,tblProductos[ITEM],0)),""))</f>
        <v/>
      </c>
    </row>
    <row r="149" spans="1:19" x14ac:dyDescent="0.3">
      <c r="A149" s="40"/>
      <c r="B149" s="14" t="str">
        <f t="shared" si="10"/>
        <v/>
      </c>
      <c r="C149" s="14" t="str">
        <f>IF(D149="","",IFERROR(INDEX(tblClientes[ID],MATCH(D149,tblClientes[NOMBRE],0)),""))</f>
        <v/>
      </c>
      <c r="D149" s="14"/>
      <c r="E149" s="14"/>
      <c r="F149" s="14" t="str">
        <f>IF(E149="","",IFERROR(INDEX(tblProductos[CATEGORIA],MATCH(E149,tblProductos[ITEM],0)),""))</f>
        <v/>
      </c>
      <c r="G149" s="15"/>
      <c r="H149" s="16"/>
      <c r="I149" s="16" t="str">
        <f>IF(E149="","",IFERROR(INDEX(tblProductos[PRECIO_VENTA],MATCH(E149,tblProductos[ITEM],0)),""))</f>
        <v/>
      </c>
      <c r="J149" s="16" t="str">
        <f t="shared" si="11"/>
        <v/>
      </c>
      <c r="K149" s="16" t="str">
        <f t="shared" si="12"/>
        <v/>
      </c>
      <c r="L149" s="16" t="str">
        <f>IF(E149="","",IFERROR(INDEX(tblProductos[COSTO TOTAL],MATCH(E149,tblProductos[ITEM],0)),""))</f>
        <v/>
      </c>
      <c r="M149" s="16" t="str">
        <f t="shared" si="13"/>
        <v/>
      </c>
      <c r="N149" s="16" t="str">
        <f t="shared" si="14"/>
        <v/>
      </c>
      <c r="O149" s="14" t="s">
        <v>34</v>
      </c>
      <c r="P149" s="14" t="s">
        <v>35</v>
      </c>
      <c r="Q149" s="14" t="s">
        <v>36</v>
      </c>
      <c r="R149" s="14"/>
      <c r="S149" t="str">
        <f>IF(E149="","",IFERROR(INDEX(tblProductos[STOCK_ACTUAL],MATCH(E149,tblProductos[ITEM],0)),""))</f>
        <v/>
      </c>
    </row>
    <row r="150" spans="1:19" x14ac:dyDescent="0.3">
      <c r="A150" s="40"/>
      <c r="B150" s="14" t="str">
        <f t="shared" si="10"/>
        <v/>
      </c>
      <c r="C150" s="14" t="str">
        <f>IF(D150="","",IFERROR(INDEX(tblClientes[ID],MATCH(D150,tblClientes[NOMBRE],0)),""))</f>
        <v/>
      </c>
      <c r="D150" s="14"/>
      <c r="E150" s="14"/>
      <c r="F150" s="14" t="str">
        <f>IF(E150="","",IFERROR(INDEX(tblProductos[CATEGORIA],MATCH(E150,tblProductos[ITEM],0)),""))</f>
        <v/>
      </c>
      <c r="G150" s="15"/>
      <c r="H150" s="16"/>
      <c r="I150" s="16" t="str">
        <f>IF(E150="","",IFERROR(INDEX(tblProductos[PRECIO_VENTA],MATCH(E150,tblProductos[ITEM],0)),""))</f>
        <v/>
      </c>
      <c r="J150" s="16" t="str">
        <f t="shared" si="11"/>
        <v/>
      </c>
      <c r="K150" s="16" t="str">
        <f t="shared" si="12"/>
        <v/>
      </c>
      <c r="L150" s="16" t="str">
        <f>IF(E150="","",IFERROR(INDEX(tblProductos[COSTO TOTAL],MATCH(E150,tblProductos[ITEM],0)),""))</f>
        <v/>
      </c>
      <c r="M150" s="16" t="str">
        <f t="shared" si="13"/>
        <v/>
      </c>
      <c r="N150" s="16" t="str">
        <f t="shared" si="14"/>
        <v/>
      </c>
      <c r="O150" s="14" t="s">
        <v>34</v>
      </c>
      <c r="P150" s="14" t="s">
        <v>35</v>
      </c>
      <c r="Q150" s="14" t="s">
        <v>36</v>
      </c>
      <c r="R150" s="14"/>
      <c r="S150" t="str">
        <f>IF(E150="","",IFERROR(INDEX(tblProductos[STOCK_ACTUAL],MATCH(E150,tblProductos[ITEM],0)),""))</f>
        <v/>
      </c>
    </row>
    <row r="151" spans="1:19" x14ac:dyDescent="0.3">
      <c r="A151" s="40"/>
      <c r="B151" s="14" t="str">
        <f t="shared" si="10"/>
        <v/>
      </c>
      <c r="C151" s="14" t="str">
        <f>IF(D151="","",IFERROR(INDEX(tblClientes[ID],MATCH(D151,tblClientes[NOMBRE],0)),""))</f>
        <v/>
      </c>
      <c r="D151" s="14"/>
      <c r="E151" s="14"/>
      <c r="F151" s="14" t="str">
        <f>IF(E151="","",IFERROR(INDEX(tblProductos[CATEGORIA],MATCH(E151,tblProductos[ITEM],0)),""))</f>
        <v/>
      </c>
      <c r="G151" s="15"/>
      <c r="H151" s="16"/>
      <c r="I151" s="16" t="str">
        <f>IF(E151="","",IFERROR(INDEX(tblProductos[PRECIO_VENTA],MATCH(E151,tblProductos[ITEM],0)),""))</f>
        <v/>
      </c>
      <c r="J151" s="16" t="str">
        <f t="shared" si="11"/>
        <v/>
      </c>
      <c r="K151" s="16" t="str">
        <f t="shared" si="12"/>
        <v/>
      </c>
      <c r="L151" s="16" t="str">
        <f>IF(E151="","",IFERROR(INDEX(tblProductos[COSTO TOTAL],MATCH(E151,tblProductos[ITEM],0)),""))</f>
        <v/>
      </c>
      <c r="M151" s="16" t="str">
        <f t="shared" si="13"/>
        <v/>
      </c>
      <c r="N151" s="16" t="str">
        <f t="shared" si="14"/>
        <v/>
      </c>
      <c r="O151" s="14" t="s">
        <v>34</v>
      </c>
      <c r="P151" s="14" t="s">
        <v>35</v>
      </c>
      <c r="Q151" s="14" t="s">
        <v>36</v>
      </c>
      <c r="R151" s="14"/>
      <c r="S151" t="str">
        <f>IF(E151="","",IFERROR(INDEX(tblProductos[STOCK_ACTUAL],MATCH(E151,tblProductos[ITEM],0)),""))</f>
        <v/>
      </c>
    </row>
    <row r="152" spans="1:19" x14ac:dyDescent="0.3">
      <c r="A152" s="40"/>
      <c r="B152" s="14" t="str">
        <f t="shared" si="10"/>
        <v/>
      </c>
      <c r="C152" s="14" t="str">
        <f>IF(D152="","",IFERROR(INDEX(tblClientes[ID],MATCH(D152,tblClientes[NOMBRE],0)),""))</f>
        <v/>
      </c>
      <c r="D152" s="14"/>
      <c r="E152" s="14"/>
      <c r="F152" s="14" t="str">
        <f>IF(E152="","",IFERROR(INDEX(tblProductos[CATEGORIA],MATCH(E152,tblProductos[ITEM],0)),""))</f>
        <v/>
      </c>
      <c r="G152" s="15"/>
      <c r="H152" s="16"/>
      <c r="I152" s="16" t="str">
        <f>IF(E152="","",IFERROR(INDEX(tblProductos[PRECIO_VENTA],MATCH(E152,tblProductos[ITEM],0)),""))</f>
        <v/>
      </c>
      <c r="J152" s="16" t="str">
        <f t="shared" si="11"/>
        <v/>
      </c>
      <c r="K152" s="16" t="str">
        <f t="shared" si="12"/>
        <v/>
      </c>
      <c r="L152" s="16" t="str">
        <f>IF(E152="","",IFERROR(INDEX(tblProductos[COSTO TOTAL],MATCH(E152,tblProductos[ITEM],0)),""))</f>
        <v/>
      </c>
      <c r="M152" s="16" t="str">
        <f t="shared" si="13"/>
        <v/>
      </c>
      <c r="N152" s="16" t="str">
        <f t="shared" si="14"/>
        <v/>
      </c>
      <c r="O152" s="14" t="s">
        <v>34</v>
      </c>
      <c r="P152" s="14" t="s">
        <v>35</v>
      </c>
      <c r="Q152" s="14" t="s">
        <v>36</v>
      </c>
      <c r="R152" s="14"/>
      <c r="S152" t="str">
        <f>IF(E152="","",IFERROR(INDEX(tblProductos[STOCK_ACTUAL],MATCH(E152,tblProductos[ITEM],0)),""))</f>
        <v/>
      </c>
    </row>
    <row r="153" spans="1:19" x14ac:dyDescent="0.3">
      <c r="A153" s="40"/>
      <c r="B153" s="14" t="str">
        <f t="shared" si="10"/>
        <v/>
      </c>
      <c r="C153" s="14" t="str">
        <f>IF(D153="","",IFERROR(INDEX(tblClientes[ID],MATCH(D153,tblClientes[NOMBRE],0)),""))</f>
        <v/>
      </c>
      <c r="D153" s="14"/>
      <c r="E153" s="14"/>
      <c r="F153" s="14" t="str">
        <f>IF(E153="","",IFERROR(INDEX(tblProductos[CATEGORIA],MATCH(E153,tblProductos[ITEM],0)),""))</f>
        <v/>
      </c>
      <c r="G153" s="15"/>
      <c r="H153" s="16"/>
      <c r="I153" s="16" t="str">
        <f>IF(E153="","",IFERROR(INDEX(tblProductos[PRECIO_VENTA],MATCH(E153,tblProductos[ITEM],0)),""))</f>
        <v/>
      </c>
      <c r="J153" s="16" t="str">
        <f t="shared" si="11"/>
        <v/>
      </c>
      <c r="K153" s="16" t="str">
        <f t="shared" si="12"/>
        <v/>
      </c>
      <c r="L153" s="16" t="str">
        <f>IF(E153="","",IFERROR(INDEX(tblProductos[COSTO TOTAL],MATCH(E153,tblProductos[ITEM],0)),""))</f>
        <v/>
      </c>
      <c r="M153" s="16" t="str">
        <f t="shared" si="13"/>
        <v/>
      </c>
      <c r="N153" s="16" t="str">
        <f t="shared" si="14"/>
        <v/>
      </c>
      <c r="O153" s="14" t="s">
        <v>34</v>
      </c>
      <c r="P153" s="14" t="s">
        <v>35</v>
      </c>
      <c r="Q153" s="14" t="s">
        <v>36</v>
      </c>
      <c r="R153" s="14"/>
      <c r="S153" t="str">
        <f>IF(E153="","",IFERROR(INDEX(tblProductos[STOCK_ACTUAL],MATCH(E153,tblProductos[ITEM],0)),""))</f>
        <v/>
      </c>
    </row>
    <row r="154" spans="1:19" x14ac:dyDescent="0.3">
      <c r="A154" s="40"/>
      <c r="B154" s="14" t="str">
        <f t="shared" si="10"/>
        <v/>
      </c>
      <c r="C154" s="14" t="str">
        <f>IF(D154="","",IFERROR(INDEX(tblClientes[ID],MATCH(D154,tblClientes[NOMBRE],0)),""))</f>
        <v/>
      </c>
      <c r="D154" s="14"/>
      <c r="E154" s="14"/>
      <c r="F154" s="14" t="str">
        <f>IF(E154="","",IFERROR(INDEX(tblProductos[CATEGORIA],MATCH(E154,tblProductos[ITEM],0)),""))</f>
        <v/>
      </c>
      <c r="G154" s="15"/>
      <c r="H154" s="16"/>
      <c r="I154" s="16" t="str">
        <f>IF(E154="","",IFERROR(INDEX(tblProductos[PRECIO_VENTA],MATCH(E154,tblProductos[ITEM],0)),""))</f>
        <v/>
      </c>
      <c r="J154" s="16" t="str">
        <f t="shared" si="11"/>
        <v/>
      </c>
      <c r="K154" s="16" t="str">
        <f t="shared" si="12"/>
        <v/>
      </c>
      <c r="L154" s="16" t="str">
        <f>IF(E154="","",IFERROR(INDEX(tblProductos[COSTO TOTAL],MATCH(E154,tblProductos[ITEM],0)),""))</f>
        <v/>
      </c>
      <c r="M154" s="16" t="str">
        <f t="shared" si="13"/>
        <v/>
      </c>
      <c r="N154" s="16" t="str">
        <f t="shared" si="14"/>
        <v/>
      </c>
      <c r="O154" s="14" t="s">
        <v>34</v>
      </c>
      <c r="P154" s="14" t="s">
        <v>35</v>
      </c>
      <c r="Q154" s="14" t="s">
        <v>36</v>
      </c>
      <c r="R154" s="14"/>
      <c r="S154" t="str">
        <f>IF(E154="","",IFERROR(INDEX(tblProductos[STOCK_ACTUAL],MATCH(E154,tblProductos[ITEM],0)),""))</f>
        <v/>
      </c>
    </row>
    <row r="155" spans="1:19" x14ac:dyDescent="0.3">
      <c r="A155" s="40"/>
      <c r="B155" s="14" t="str">
        <f t="shared" si="10"/>
        <v/>
      </c>
      <c r="C155" s="14" t="str">
        <f>IF(D155="","",IFERROR(INDEX(tblClientes[ID],MATCH(D155,tblClientes[NOMBRE],0)),""))</f>
        <v/>
      </c>
      <c r="D155" s="14"/>
      <c r="E155" s="14"/>
      <c r="F155" s="14" t="str">
        <f>IF(E155="","",IFERROR(INDEX(tblProductos[CATEGORIA],MATCH(E155,tblProductos[ITEM],0)),""))</f>
        <v/>
      </c>
      <c r="G155" s="15"/>
      <c r="H155" s="16"/>
      <c r="I155" s="16" t="str">
        <f>IF(E155="","",IFERROR(INDEX(tblProductos[PRECIO_VENTA],MATCH(E155,tblProductos[ITEM],0)),""))</f>
        <v/>
      </c>
      <c r="J155" s="16" t="str">
        <f t="shared" si="11"/>
        <v/>
      </c>
      <c r="K155" s="16" t="str">
        <f t="shared" si="12"/>
        <v/>
      </c>
      <c r="L155" s="16" t="str">
        <f>IF(E155="","",IFERROR(INDEX(tblProductos[COSTO TOTAL],MATCH(E155,tblProductos[ITEM],0)),""))</f>
        <v/>
      </c>
      <c r="M155" s="16" t="str">
        <f t="shared" si="13"/>
        <v/>
      </c>
      <c r="N155" s="16" t="str">
        <f t="shared" si="14"/>
        <v/>
      </c>
      <c r="O155" s="14" t="s">
        <v>34</v>
      </c>
      <c r="P155" s="14" t="s">
        <v>35</v>
      </c>
      <c r="Q155" s="14" t="s">
        <v>36</v>
      </c>
      <c r="R155" s="14"/>
      <c r="S155" t="str">
        <f>IF(E155="","",IFERROR(INDEX(tblProductos[STOCK_ACTUAL],MATCH(E155,tblProductos[ITEM],0)),""))</f>
        <v/>
      </c>
    </row>
    <row r="156" spans="1:19" x14ac:dyDescent="0.3">
      <c r="A156" s="40"/>
      <c r="B156" s="14" t="str">
        <f t="shared" si="10"/>
        <v/>
      </c>
      <c r="C156" s="14" t="str">
        <f>IF(D156="","",IFERROR(INDEX(tblClientes[ID],MATCH(D156,tblClientes[NOMBRE],0)),""))</f>
        <v/>
      </c>
      <c r="D156" s="14"/>
      <c r="E156" s="14"/>
      <c r="F156" s="14" t="str">
        <f>IF(E156="","",IFERROR(INDEX(tblProductos[CATEGORIA],MATCH(E156,tblProductos[ITEM],0)),""))</f>
        <v/>
      </c>
      <c r="G156" s="15"/>
      <c r="H156" s="16"/>
      <c r="I156" s="16" t="str">
        <f>IF(E156="","",IFERROR(INDEX(tblProductos[PRECIO_VENTA],MATCH(E156,tblProductos[ITEM],0)),""))</f>
        <v/>
      </c>
      <c r="J156" s="16" t="str">
        <f t="shared" si="11"/>
        <v/>
      </c>
      <c r="K156" s="16" t="str">
        <f t="shared" si="12"/>
        <v/>
      </c>
      <c r="L156" s="16" t="str">
        <f>IF(E156="","",IFERROR(INDEX(tblProductos[COSTO TOTAL],MATCH(E156,tblProductos[ITEM],0)),""))</f>
        <v/>
      </c>
      <c r="M156" s="16" t="str">
        <f t="shared" si="13"/>
        <v/>
      </c>
      <c r="N156" s="16" t="str">
        <f t="shared" si="14"/>
        <v/>
      </c>
      <c r="O156" s="14" t="s">
        <v>34</v>
      </c>
      <c r="P156" s="14" t="s">
        <v>35</v>
      </c>
      <c r="Q156" s="14" t="s">
        <v>36</v>
      </c>
      <c r="R156" s="14"/>
      <c r="S156" t="str">
        <f>IF(E156="","",IFERROR(INDEX(tblProductos[STOCK_ACTUAL],MATCH(E156,tblProductos[ITEM],0)),""))</f>
        <v/>
      </c>
    </row>
    <row r="157" spans="1:19" x14ac:dyDescent="0.3">
      <c r="A157" s="40"/>
      <c r="B157" s="14" t="str">
        <f t="shared" si="10"/>
        <v/>
      </c>
      <c r="C157" s="14" t="str">
        <f>IF(D157="","",IFERROR(INDEX(tblClientes[ID],MATCH(D157,tblClientes[NOMBRE],0)),""))</f>
        <v/>
      </c>
      <c r="D157" s="14"/>
      <c r="E157" s="14"/>
      <c r="F157" s="14" t="str">
        <f>IF(E157="","",IFERROR(INDEX(tblProductos[CATEGORIA],MATCH(E157,tblProductos[ITEM],0)),""))</f>
        <v/>
      </c>
      <c r="G157" s="15"/>
      <c r="H157" s="16"/>
      <c r="I157" s="16" t="str">
        <f>IF(E157="","",IFERROR(INDEX(tblProductos[PRECIO_VENTA],MATCH(E157,tblProductos[ITEM],0)),""))</f>
        <v/>
      </c>
      <c r="J157" s="16" t="str">
        <f t="shared" si="11"/>
        <v/>
      </c>
      <c r="K157" s="16" t="str">
        <f t="shared" si="12"/>
        <v/>
      </c>
      <c r="L157" s="16" t="str">
        <f>IF(E157="","",IFERROR(INDEX(tblProductos[COSTO TOTAL],MATCH(E157,tblProductos[ITEM],0)),""))</f>
        <v/>
      </c>
      <c r="M157" s="16" t="str">
        <f t="shared" si="13"/>
        <v/>
      </c>
      <c r="N157" s="16" t="str">
        <f t="shared" si="14"/>
        <v/>
      </c>
      <c r="O157" s="14" t="s">
        <v>34</v>
      </c>
      <c r="P157" s="14" t="s">
        <v>35</v>
      </c>
      <c r="Q157" s="14" t="s">
        <v>36</v>
      </c>
      <c r="R157" s="14"/>
      <c r="S157" t="str">
        <f>IF(E157="","",IFERROR(INDEX(tblProductos[STOCK_ACTUAL],MATCH(E157,tblProductos[ITEM],0)),""))</f>
        <v/>
      </c>
    </row>
    <row r="158" spans="1:19" x14ac:dyDescent="0.3">
      <c r="A158" s="40"/>
      <c r="B158" s="14" t="str">
        <f t="shared" si="10"/>
        <v/>
      </c>
      <c r="C158" s="14" t="str">
        <f>IF(D158="","",IFERROR(INDEX(tblClientes[ID],MATCH(D158,tblClientes[NOMBRE],0)),""))</f>
        <v/>
      </c>
      <c r="D158" s="14"/>
      <c r="E158" s="14"/>
      <c r="F158" s="14" t="str">
        <f>IF(E158="","",IFERROR(INDEX(tblProductos[CATEGORIA],MATCH(E158,tblProductos[ITEM],0)),""))</f>
        <v/>
      </c>
      <c r="G158" s="15"/>
      <c r="H158" s="16"/>
      <c r="I158" s="16" t="str">
        <f>IF(E158="","",IFERROR(INDEX(tblProductos[PRECIO_VENTA],MATCH(E158,tblProductos[ITEM],0)),""))</f>
        <v/>
      </c>
      <c r="J158" s="16" t="str">
        <f t="shared" si="11"/>
        <v/>
      </c>
      <c r="K158" s="16" t="str">
        <f t="shared" si="12"/>
        <v/>
      </c>
      <c r="L158" s="16" t="str">
        <f>IF(E158="","",IFERROR(INDEX(tblProductos[COSTO TOTAL],MATCH(E158,tblProductos[ITEM],0)),""))</f>
        <v/>
      </c>
      <c r="M158" s="16" t="str">
        <f t="shared" si="13"/>
        <v/>
      </c>
      <c r="N158" s="16" t="str">
        <f t="shared" si="14"/>
        <v/>
      </c>
      <c r="O158" s="14" t="s">
        <v>34</v>
      </c>
      <c r="P158" s="14" t="s">
        <v>35</v>
      </c>
      <c r="Q158" s="14" t="s">
        <v>36</v>
      </c>
      <c r="R158" s="14"/>
      <c r="S158" t="str">
        <f>IF(E158="","",IFERROR(INDEX(tblProductos[STOCK_ACTUAL],MATCH(E158,tblProductos[ITEM],0)),""))</f>
        <v/>
      </c>
    </row>
    <row r="159" spans="1:19" x14ac:dyDescent="0.3">
      <c r="A159" s="40"/>
      <c r="B159" s="14" t="str">
        <f t="shared" si="10"/>
        <v/>
      </c>
      <c r="C159" s="14" t="str">
        <f>IF(D159="","",IFERROR(INDEX(tblClientes[ID],MATCH(D159,tblClientes[NOMBRE],0)),""))</f>
        <v/>
      </c>
      <c r="D159" s="14"/>
      <c r="E159" s="14"/>
      <c r="F159" s="14" t="str">
        <f>IF(E159="","",IFERROR(INDEX(tblProductos[CATEGORIA],MATCH(E159,tblProductos[ITEM],0)),""))</f>
        <v/>
      </c>
      <c r="G159" s="15"/>
      <c r="H159" s="16"/>
      <c r="I159" s="16" t="str">
        <f>IF(E159="","",IFERROR(INDEX(tblProductos[PRECIO_VENTA],MATCH(E159,tblProductos[ITEM],0)),""))</f>
        <v/>
      </c>
      <c r="J159" s="16" t="str">
        <f t="shared" si="11"/>
        <v/>
      </c>
      <c r="K159" s="16" t="str">
        <f t="shared" si="12"/>
        <v/>
      </c>
      <c r="L159" s="16" t="str">
        <f>IF(E159="","",IFERROR(INDEX(tblProductos[COSTO TOTAL],MATCH(E159,tblProductos[ITEM],0)),""))</f>
        <v/>
      </c>
      <c r="M159" s="16" t="str">
        <f t="shared" si="13"/>
        <v/>
      </c>
      <c r="N159" s="16" t="str">
        <f t="shared" si="14"/>
        <v/>
      </c>
      <c r="O159" s="14" t="s">
        <v>34</v>
      </c>
      <c r="P159" s="14" t="s">
        <v>35</v>
      </c>
      <c r="Q159" s="14" t="s">
        <v>36</v>
      </c>
      <c r="R159" s="14"/>
      <c r="S159" t="str">
        <f>IF(E159="","",IFERROR(INDEX(tblProductos[STOCK_ACTUAL],MATCH(E159,tblProductos[ITEM],0)),""))</f>
        <v/>
      </c>
    </row>
    <row r="160" spans="1:19" x14ac:dyDescent="0.3">
      <c r="A160" s="40"/>
      <c r="B160" s="14" t="str">
        <f t="shared" si="10"/>
        <v/>
      </c>
      <c r="C160" s="14" t="str">
        <f>IF(D160="","",IFERROR(INDEX(tblClientes[ID],MATCH(D160,tblClientes[NOMBRE],0)),""))</f>
        <v/>
      </c>
      <c r="D160" s="14"/>
      <c r="E160" s="14"/>
      <c r="F160" s="14" t="str">
        <f>IF(E160="","",IFERROR(INDEX(tblProductos[CATEGORIA],MATCH(E160,tblProductos[ITEM],0)),""))</f>
        <v/>
      </c>
      <c r="G160" s="15"/>
      <c r="H160" s="16"/>
      <c r="I160" s="16" t="str">
        <f>IF(E160="","",IFERROR(INDEX(tblProductos[PRECIO_VENTA],MATCH(E160,tblProductos[ITEM],0)),""))</f>
        <v/>
      </c>
      <c r="J160" s="16" t="str">
        <f t="shared" si="11"/>
        <v/>
      </c>
      <c r="K160" s="16" t="str">
        <f t="shared" si="12"/>
        <v/>
      </c>
      <c r="L160" s="16" t="str">
        <f>IF(E160="","",IFERROR(INDEX(tblProductos[COSTO TOTAL],MATCH(E160,tblProductos[ITEM],0)),""))</f>
        <v/>
      </c>
      <c r="M160" s="16" t="str">
        <f t="shared" si="13"/>
        <v/>
      </c>
      <c r="N160" s="16" t="str">
        <f t="shared" si="14"/>
        <v/>
      </c>
      <c r="O160" s="14" t="s">
        <v>34</v>
      </c>
      <c r="P160" s="14" t="s">
        <v>35</v>
      </c>
      <c r="Q160" s="14" t="s">
        <v>36</v>
      </c>
      <c r="R160" s="14"/>
      <c r="S160" t="str">
        <f>IF(E160="","",IFERROR(INDEX(tblProductos[STOCK_ACTUAL],MATCH(E160,tblProductos[ITEM],0)),""))</f>
        <v/>
      </c>
    </row>
    <row r="161" spans="1:19" x14ac:dyDescent="0.3">
      <c r="A161" s="40"/>
      <c r="B161" s="14" t="str">
        <f t="shared" si="10"/>
        <v/>
      </c>
      <c r="C161" s="14" t="str">
        <f>IF(D161="","",IFERROR(INDEX(tblClientes[ID],MATCH(D161,tblClientes[NOMBRE],0)),""))</f>
        <v/>
      </c>
      <c r="D161" s="14"/>
      <c r="E161" s="14"/>
      <c r="F161" s="14" t="str">
        <f>IF(E161="","",IFERROR(INDEX(tblProductos[CATEGORIA],MATCH(E161,tblProductos[ITEM],0)),""))</f>
        <v/>
      </c>
      <c r="G161" s="15"/>
      <c r="H161" s="16"/>
      <c r="I161" s="16" t="str">
        <f>IF(E161="","",IFERROR(INDEX(tblProductos[PRECIO_VENTA],MATCH(E161,tblProductos[ITEM],0)),""))</f>
        <v/>
      </c>
      <c r="J161" s="16" t="str">
        <f t="shared" si="11"/>
        <v/>
      </c>
      <c r="K161" s="16" t="str">
        <f t="shared" si="12"/>
        <v/>
      </c>
      <c r="L161" s="16" t="str">
        <f>IF(E161="","",IFERROR(INDEX(tblProductos[COSTO TOTAL],MATCH(E161,tblProductos[ITEM],0)),""))</f>
        <v/>
      </c>
      <c r="M161" s="16" t="str">
        <f t="shared" si="13"/>
        <v/>
      </c>
      <c r="N161" s="16" t="str">
        <f t="shared" si="14"/>
        <v/>
      </c>
      <c r="O161" s="14" t="s">
        <v>34</v>
      </c>
      <c r="P161" s="14" t="s">
        <v>35</v>
      </c>
      <c r="Q161" s="14" t="s">
        <v>36</v>
      </c>
      <c r="R161" s="14"/>
      <c r="S161" t="str">
        <f>IF(E161="","",IFERROR(INDEX(tblProductos[STOCK_ACTUAL],MATCH(E161,tblProductos[ITEM],0)),""))</f>
        <v/>
      </c>
    </row>
    <row r="162" spans="1:19" x14ac:dyDescent="0.3">
      <c r="A162" s="40"/>
      <c r="B162" s="14" t="str">
        <f t="shared" si="10"/>
        <v/>
      </c>
      <c r="C162" s="14" t="str">
        <f>IF(D162="","",IFERROR(INDEX(tblClientes[ID],MATCH(D162,tblClientes[NOMBRE],0)),""))</f>
        <v/>
      </c>
      <c r="D162" s="14"/>
      <c r="E162" s="14"/>
      <c r="F162" s="14" t="str">
        <f>IF(E162="","",IFERROR(INDEX(tblProductos[CATEGORIA],MATCH(E162,tblProductos[ITEM],0)),""))</f>
        <v/>
      </c>
      <c r="G162" s="15"/>
      <c r="H162" s="16"/>
      <c r="I162" s="16" t="str">
        <f>IF(E162="","",IFERROR(INDEX(tblProductos[PRECIO_VENTA],MATCH(E162,tblProductos[ITEM],0)),""))</f>
        <v/>
      </c>
      <c r="J162" s="16" t="str">
        <f t="shared" si="11"/>
        <v/>
      </c>
      <c r="K162" s="16" t="str">
        <f t="shared" si="12"/>
        <v/>
      </c>
      <c r="L162" s="16" t="str">
        <f>IF(E162="","",IFERROR(INDEX(tblProductos[COSTO TOTAL],MATCH(E162,tblProductos[ITEM],0)),""))</f>
        <v/>
      </c>
      <c r="M162" s="16" t="str">
        <f t="shared" si="13"/>
        <v/>
      </c>
      <c r="N162" s="16" t="str">
        <f t="shared" si="14"/>
        <v/>
      </c>
      <c r="O162" s="14" t="s">
        <v>34</v>
      </c>
      <c r="P162" s="14" t="s">
        <v>35</v>
      </c>
      <c r="Q162" s="14" t="s">
        <v>36</v>
      </c>
      <c r="R162" s="14"/>
      <c r="S162" t="str">
        <f>IF(E162="","",IFERROR(INDEX(tblProductos[STOCK_ACTUAL],MATCH(E162,tblProductos[ITEM],0)),""))</f>
        <v/>
      </c>
    </row>
    <row r="163" spans="1:19" x14ac:dyDescent="0.3">
      <c r="A163" s="40"/>
      <c r="B163" s="14" t="str">
        <f t="shared" si="10"/>
        <v/>
      </c>
      <c r="C163" s="14" t="str">
        <f>IF(D163="","",IFERROR(INDEX(tblClientes[ID],MATCH(D163,tblClientes[NOMBRE],0)),""))</f>
        <v/>
      </c>
      <c r="D163" s="14"/>
      <c r="E163" s="14"/>
      <c r="F163" s="14" t="str">
        <f>IF(E163="","",IFERROR(INDEX(tblProductos[CATEGORIA],MATCH(E163,tblProductos[ITEM],0)),""))</f>
        <v/>
      </c>
      <c r="G163" s="15"/>
      <c r="H163" s="16"/>
      <c r="I163" s="16" t="str">
        <f>IF(E163="","",IFERROR(INDEX(tblProductos[PRECIO_VENTA],MATCH(E163,tblProductos[ITEM],0)),""))</f>
        <v/>
      </c>
      <c r="J163" s="16" t="str">
        <f t="shared" si="11"/>
        <v/>
      </c>
      <c r="K163" s="16" t="str">
        <f t="shared" si="12"/>
        <v/>
      </c>
      <c r="L163" s="16" t="str">
        <f>IF(E163="","",IFERROR(INDEX(tblProductos[COSTO TOTAL],MATCH(E163,tblProductos[ITEM],0)),""))</f>
        <v/>
      </c>
      <c r="M163" s="16" t="str">
        <f t="shared" si="13"/>
        <v/>
      </c>
      <c r="N163" s="16" t="str">
        <f t="shared" si="14"/>
        <v/>
      </c>
      <c r="O163" s="14" t="s">
        <v>34</v>
      </c>
      <c r="P163" s="14" t="s">
        <v>35</v>
      </c>
      <c r="Q163" s="14" t="s">
        <v>36</v>
      </c>
      <c r="R163" s="14"/>
      <c r="S163" t="str">
        <f>IF(E163="","",IFERROR(INDEX(tblProductos[STOCK_ACTUAL],MATCH(E163,tblProductos[ITEM],0)),""))</f>
        <v/>
      </c>
    </row>
    <row r="164" spans="1:19" x14ac:dyDescent="0.3">
      <c r="A164" s="40"/>
      <c r="B164" s="14" t="str">
        <f t="shared" si="10"/>
        <v/>
      </c>
      <c r="C164" s="14" t="str">
        <f>IF(D164="","",IFERROR(INDEX(tblClientes[ID],MATCH(D164,tblClientes[NOMBRE],0)),""))</f>
        <v/>
      </c>
      <c r="D164" s="14"/>
      <c r="E164" s="14"/>
      <c r="F164" s="14" t="str">
        <f>IF(E164="","",IFERROR(INDEX(tblProductos[CATEGORIA],MATCH(E164,tblProductos[ITEM],0)),""))</f>
        <v/>
      </c>
      <c r="G164" s="15"/>
      <c r="H164" s="16"/>
      <c r="I164" s="16" t="str">
        <f>IF(E164="","",IFERROR(INDEX(tblProductos[PRECIO_VENTA],MATCH(E164,tblProductos[ITEM],0)),""))</f>
        <v/>
      </c>
      <c r="J164" s="16" t="str">
        <f t="shared" si="11"/>
        <v/>
      </c>
      <c r="K164" s="16" t="str">
        <f t="shared" si="12"/>
        <v/>
      </c>
      <c r="L164" s="16" t="str">
        <f>IF(E164="","",IFERROR(INDEX(tblProductos[COSTO TOTAL],MATCH(E164,tblProductos[ITEM],0)),""))</f>
        <v/>
      </c>
      <c r="M164" s="16" t="str">
        <f t="shared" si="13"/>
        <v/>
      </c>
      <c r="N164" s="16" t="str">
        <f t="shared" si="14"/>
        <v/>
      </c>
      <c r="O164" s="14" t="s">
        <v>34</v>
      </c>
      <c r="P164" s="14" t="s">
        <v>35</v>
      </c>
      <c r="Q164" s="14" t="s">
        <v>36</v>
      </c>
      <c r="R164" s="14"/>
      <c r="S164" t="str">
        <f>IF(E164="","",IFERROR(INDEX(tblProductos[STOCK_ACTUAL],MATCH(E164,tblProductos[ITEM],0)),""))</f>
        <v/>
      </c>
    </row>
    <row r="165" spans="1:19" x14ac:dyDescent="0.3">
      <c r="A165" s="40"/>
      <c r="B165" s="14" t="str">
        <f t="shared" si="10"/>
        <v/>
      </c>
      <c r="C165" s="14" t="str">
        <f>IF(D165="","",IFERROR(INDEX(tblClientes[ID],MATCH(D165,tblClientes[NOMBRE],0)),""))</f>
        <v/>
      </c>
      <c r="D165" s="14"/>
      <c r="E165" s="14"/>
      <c r="F165" s="14" t="str">
        <f>IF(E165="","",IFERROR(INDEX(tblProductos[CATEGORIA],MATCH(E165,tblProductos[ITEM],0)),""))</f>
        <v/>
      </c>
      <c r="G165" s="15"/>
      <c r="H165" s="16"/>
      <c r="I165" s="16" t="str">
        <f>IF(E165="","",IFERROR(INDEX(tblProductos[PRECIO_VENTA],MATCH(E165,tblProductos[ITEM],0)),""))</f>
        <v/>
      </c>
      <c r="J165" s="16" t="str">
        <f t="shared" si="11"/>
        <v/>
      </c>
      <c r="K165" s="16" t="str">
        <f t="shared" si="12"/>
        <v/>
      </c>
      <c r="L165" s="16" t="str">
        <f>IF(E165="","",IFERROR(INDEX(tblProductos[COSTO TOTAL],MATCH(E165,tblProductos[ITEM],0)),""))</f>
        <v/>
      </c>
      <c r="M165" s="16" t="str">
        <f t="shared" si="13"/>
        <v/>
      </c>
      <c r="N165" s="16" t="str">
        <f t="shared" si="14"/>
        <v/>
      </c>
      <c r="O165" s="14" t="s">
        <v>34</v>
      </c>
      <c r="P165" s="14" t="s">
        <v>35</v>
      </c>
      <c r="Q165" s="14" t="s">
        <v>36</v>
      </c>
      <c r="R165" s="14"/>
      <c r="S165" t="str">
        <f>IF(E165="","",IFERROR(INDEX(tblProductos[STOCK_ACTUAL],MATCH(E165,tblProductos[ITEM],0)),""))</f>
        <v/>
      </c>
    </row>
    <row r="166" spans="1:19" x14ac:dyDescent="0.3">
      <c r="A166" s="40"/>
      <c r="B166" s="14" t="str">
        <f t="shared" si="10"/>
        <v/>
      </c>
      <c r="C166" s="14" t="str">
        <f>IF(D166="","",IFERROR(INDEX(tblClientes[ID],MATCH(D166,tblClientes[NOMBRE],0)),""))</f>
        <v/>
      </c>
      <c r="D166" s="14"/>
      <c r="E166" s="14"/>
      <c r="F166" s="14" t="str">
        <f>IF(E166="","",IFERROR(INDEX(tblProductos[CATEGORIA],MATCH(E166,tblProductos[ITEM],0)),""))</f>
        <v/>
      </c>
      <c r="G166" s="15"/>
      <c r="H166" s="16"/>
      <c r="I166" s="16" t="str">
        <f>IF(E166="","",IFERROR(INDEX(tblProductos[PRECIO_VENTA],MATCH(E166,tblProductos[ITEM],0)),""))</f>
        <v/>
      </c>
      <c r="J166" s="16" t="str">
        <f t="shared" si="11"/>
        <v/>
      </c>
      <c r="K166" s="16" t="str">
        <f t="shared" si="12"/>
        <v/>
      </c>
      <c r="L166" s="16" t="str">
        <f>IF(E166="","",IFERROR(INDEX(tblProductos[COSTO TOTAL],MATCH(E166,tblProductos[ITEM],0)),""))</f>
        <v/>
      </c>
      <c r="M166" s="16" t="str">
        <f t="shared" si="13"/>
        <v/>
      </c>
      <c r="N166" s="16" t="str">
        <f t="shared" si="14"/>
        <v/>
      </c>
      <c r="O166" s="14" t="s">
        <v>34</v>
      </c>
      <c r="P166" s="14" t="s">
        <v>35</v>
      </c>
      <c r="Q166" s="14" t="s">
        <v>36</v>
      </c>
      <c r="R166" s="14"/>
      <c r="S166" t="str">
        <f>IF(E166="","",IFERROR(INDEX(tblProductos[STOCK_ACTUAL],MATCH(E166,tblProductos[ITEM],0)),""))</f>
        <v/>
      </c>
    </row>
    <row r="167" spans="1:19" x14ac:dyDescent="0.3">
      <c r="A167" s="40"/>
      <c r="B167" s="14" t="str">
        <f t="shared" si="10"/>
        <v/>
      </c>
      <c r="C167" s="14" t="str">
        <f>IF(D167="","",IFERROR(INDEX(tblClientes[ID],MATCH(D167,tblClientes[NOMBRE],0)),""))</f>
        <v/>
      </c>
      <c r="D167" s="14"/>
      <c r="E167" s="14"/>
      <c r="F167" s="14" t="str">
        <f>IF(E167="","",IFERROR(INDEX(tblProductos[CATEGORIA],MATCH(E167,tblProductos[ITEM],0)),""))</f>
        <v/>
      </c>
      <c r="G167" s="15"/>
      <c r="H167" s="16"/>
      <c r="I167" s="16" t="str">
        <f>IF(E167="","",IFERROR(INDEX(tblProductos[PRECIO_VENTA],MATCH(E167,tblProductos[ITEM],0)),""))</f>
        <v/>
      </c>
      <c r="J167" s="16" t="str">
        <f t="shared" si="11"/>
        <v/>
      </c>
      <c r="K167" s="16" t="str">
        <f t="shared" si="12"/>
        <v/>
      </c>
      <c r="L167" s="16" t="str">
        <f>IF(E167="","",IFERROR(INDEX(tblProductos[COSTO TOTAL],MATCH(E167,tblProductos[ITEM],0)),""))</f>
        <v/>
      </c>
      <c r="M167" s="16" t="str">
        <f t="shared" si="13"/>
        <v/>
      </c>
      <c r="N167" s="16" t="str">
        <f t="shared" si="14"/>
        <v/>
      </c>
      <c r="O167" s="14" t="s">
        <v>34</v>
      </c>
      <c r="P167" s="14" t="s">
        <v>35</v>
      </c>
      <c r="Q167" s="14" t="s">
        <v>36</v>
      </c>
      <c r="R167" s="14"/>
      <c r="S167" t="str">
        <f>IF(E167="","",IFERROR(INDEX(tblProductos[STOCK_ACTUAL],MATCH(E167,tblProductos[ITEM],0)),""))</f>
        <v/>
      </c>
    </row>
    <row r="168" spans="1:19" x14ac:dyDescent="0.3">
      <c r="A168" s="40"/>
      <c r="B168" s="14" t="str">
        <f t="shared" si="10"/>
        <v/>
      </c>
      <c r="C168" s="14" t="str">
        <f>IF(D168="","",IFERROR(INDEX(tblClientes[ID],MATCH(D168,tblClientes[NOMBRE],0)),""))</f>
        <v/>
      </c>
      <c r="D168" s="14"/>
      <c r="E168" s="14"/>
      <c r="F168" s="14" t="str">
        <f>IF(E168="","",IFERROR(INDEX(tblProductos[CATEGORIA],MATCH(E168,tblProductos[ITEM],0)),""))</f>
        <v/>
      </c>
      <c r="G168" s="15"/>
      <c r="H168" s="16"/>
      <c r="I168" s="16" t="str">
        <f>IF(E168="","",IFERROR(INDEX(tblProductos[PRECIO_VENTA],MATCH(E168,tblProductos[ITEM],0)),""))</f>
        <v/>
      </c>
      <c r="J168" s="16" t="str">
        <f t="shared" si="11"/>
        <v/>
      </c>
      <c r="K168" s="16" t="str">
        <f t="shared" si="12"/>
        <v/>
      </c>
      <c r="L168" s="16" t="str">
        <f>IF(E168="","",IFERROR(INDEX(tblProductos[COSTO TOTAL],MATCH(E168,tblProductos[ITEM],0)),""))</f>
        <v/>
      </c>
      <c r="M168" s="16" t="str">
        <f t="shared" si="13"/>
        <v/>
      </c>
      <c r="N168" s="16" t="str">
        <f t="shared" si="14"/>
        <v/>
      </c>
      <c r="O168" s="14" t="s">
        <v>34</v>
      </c>
      <c r="P168" s="14" t="s">
        <v>35</v>
      </c>
      <c r="Q168" s="14" t="s">
        <v>36</v>
      </c>
      <c r="R168" s="14"/>
      <c r="S168" t="str">
        <f>IF(E168="","",IFERROR(INDEX(tblProductos[STOCK_ACTUAL],MATCH(E168,tblProductos[ITEM],0)),""))</f>
        <v/>
      </c>
    </row>
    <row r="169" spans="1:19" x14ac:dyDescent="0.3">
      <c r="A169" s="40"/>
      <c r="B169" s="14" t="str">
        <f t="shared" si="10"/>
        <v/>
      </c>
      <c r="C169" s="14" t="str">
        <f>IF(D169="","",IFERROR(INDEX(tblClientes[ID],MATCH(D169,tblClientes[NOMBRE],0)),""))</f>
        <v/>
      </c>
      <c r="D169" s="14"/>
      <c r="E169" s="14"/>
      <c r="F169" s="14" t="str">
        <f>IF(E169="","",IFERROR(INDEX(tblProductos[CATEGORIA],MATCH(E169,tblProductos[ITEM],0)),""))</f>
        <v/>
      </c>
      <c r="G169" s="15"/>
      <c r="H169" s="16"/>
      <c r="I169" s="16" t="str">
        <f>IF(E169="","",IFERROR(INDEX(tblProductos[PRECIO_VENTA],MATCH(E169,tblProductos[ITEM],0)),""))</f>
        <v/>
      </c>
      <c r="J169" s="16" t="str">
        <f t="shared" si="11"/>
        <v/>
      </c>
      <c r="K169" s="16" t="str">
        <f t="shared" si="12"/>
        <v/>
      </c>
      <c r="L169" s="16" t="str">
        <f>IF(E169="","",IFERROR(INDEX(tblProductos[COSTO TOTAL],MATCH(E169,tblProductos[ITEM],0)),""))</f>
        <v/>
      </c>
      <c r="M169" s="16" t="str">
        <f t="shared" si="13"/>
        <v/>
      </c>
      <c r="N169" s="16" t="str">
        <f t="shared" si="14"/>
        <v/>
      </c>
      <c r="O169" s="14" t="s">
        <v>34</v>
      </c>
      <c r="P169" s="14" t="s">
        <v>35</v>
      </c>
      <c r="Q169" s="14" t="s">
        <v>36</v>
      </c>
      <c r="R169" s="14"/>
      <c r="S169" t="str">
        <f>IF(E169="","",IFERROR(INDEX(tblProductos[STOCK_ACTUAL],MATCH(E169,tblProductos[ITEM],0)),""))</f>
        <v/>
      </c>
    </row>
    <row r="170" spans="1:19" x14ac:dyDescent="0.3">
      <c r="A170" s="40"/>
      <c r="B170" s="14" t="str">
        <f t="shared" si="10"/>
        <v/>
      </c>
      <c r="C170" s="14" t="str">
        <f>IF(D170="","",IFERROR(INDEX(tblClientes[ID],MATCH(D170,tblClientes[NOMBRE],0)),""))</f>
        <v/>
      </c>
      <c r="D170" s="14"/>
      <c r="E170" s="14"/>
      <c r="F170" s="14" t="str">
        <f>IF(E170="","",IFERROR(INDEX(tblProductos[CATEGORIA],MATCH(E170,tblProductos[ITEM],0)),""))</f>
        <v/>
      </c>
      <c r="G170" s="15"/>
      <c r="H170" s="16"/>
      <c r="I170" s="16" t="str">
        <f>IF(E170="","",IFERROR(INDEX(tblProductos[PRECIO_VENTA],MATCH(E170,tblProductos[ITEM],0)),""))</f>
        <v/>
      </c>
      <c r="J170" s="16" t="str">
        <f t="shared" si="11"/>
        <v/>
      </c>
      <c r="K170" s="16" t="str">
        <f t="shared" si="12"/>
        <v/>
      </c>
      <c r="L170" s="16" t="str">
        <f>IF(E170="","",IFERROR(INDEX(tblProductos[COSTO TOTAL],MATCH(E170,tblProductos[ITEM],0)),""))</f>
        <v/>
      </c>
      <c r="M170" s="16" t="str">
        <f t="shared" si="13"/>
        <v/>
      </c>
      <c r="N170" s="16" t="str">
        <f t="shared" si="14"/>
        <v/>
      </c>
      <c r="O170" s="14" t="s">
        <v>34</v>
      </c>
      <c r="P170" s="14" t="s">
        <v>35</v>
      </c>
      <c r="Q170" s="14" t="s">
        <v>36</v>
      </c>
      <c r="R170" s="14"/>
      <c r="S170" t="str">
        <f>IF(E170="","",IFERROR(INDEX(tblProductos[STOCK_ACTUAL],MATCH(E170,tblProductos[ITEM],0)),""))</f>
        <v/>
      </c>
    </row>
    <row r="171" spans="1:19" x14ac:dyDescent="0.3">
      <c r="A171" s="40"/>
      <c r="B171" s="14" t="str">
        <f t="shared" si="10"/>
        <v/>
      </c>
      <c r="C171" s="14" t="str">
        <f>IF(D171="","",IFERROR(INDEX(tblClientes[ID],MATCH(D171,tblClientes[NOMBRE],0)),""))</f>
        <v/>
      </c>
      <c r="D171" s="14"/>
      <c r="E171" s="14"/>
      <c r="F171" s="14" t="str">
        <f>IF(E171="","",IFERROR(INDEX(tblProductos[CATEGORIA],MATCH(E171,tblProductos[ITEM],0)),""))</f>
        <v/>
      </c>
      <c r="G171" s="15"/>
      <c r="H171" s="16"/>
      <c r="I171" s="16" t="str">
        <f>IF(E171="","",IFERROR(INDEX(tblProductos[PRECIO_VENTA],MATCH(E171,tblProductos[ITEM],0)),""))</f>
        <v/>
      </c>
      <c r="J171" s="16" t="str">
        <f t="shared" si="11"/>
        <v/>
      </c>
      <c r="K171" s="16" t="str">
        <f t="shared" si="12"/>
        <v/>
      </c>
      <c r="L171" s="16" t="str">
        <f>IF(E171="","",IFERROR(INDEX(tblProductos[COSTO TOTAL],MATCH(E171,tblProductos[ITEM],0)),""))</f>
        <v/>
      </c>
      <c r="M171" s="16" t="str">
        <f t="shared" si="13"/>
        <v/>
      </c>
      <c r="N171" s="16" t="str">
        <f t="shared" si="14"/>
        <v/>
      </c>
      <c r="O171" s="14" t="s">
        <v>34</v>
      </c>
      <c r="P171" s="14" t="s">
        <v>35</v>
      </c>
      <c r="Q171" s="14" t="s">
        <v>36</v>
      </c>
      <c r="R171" s="14"/>
      <c r="S171" t="str">
        <f>IF(E171="","",IFERROR(INDEX(tblProductos[STOCK_ACTUAL],MATCH(E171,tblProductos[ITEM],0)),""))</f>
        <v/>
      </c>
    </row>
    <row r="172" spans="1:19" x14ac:dyDescent="0.3">
      <c r="A172" s="40"/>
      <c r="B172" s="14" t="str">
        <f t="shared" si="10"/>
        <v/>
      </c>
      <c r="C172" s="14" t="str">
        <f>IF(D172="","",IFERROR(INDEX(tblClientes[ID],MATCH(D172,tblClientes[NOMBRE],0)),""))</f>
        <v/>
      </c>
      <c r="D172" s="14"/>
      <c r="E172" s="14"/>
      <c r="F172" s="14" t="str">
        <f>IF(E172="","",IFERROR(INDEX(tblProductos[CATEGORIA],MATCH(E172,tblProductos[ITEM],0)),""))</f>
        <v/>
      </c>
      <c r="G172" s="15"/>
      <c r="H172" s="16"/>
      <c r="I172" s="16" t="str">
        <f>IF(E172="","",IFERROR(INDEX(tblProductos[PRECIO_VENTA],MATCH(E172,tblProductos[ITEM],0)),""))</f>
        <v/>
      </c>
      <c r="J172" s="16" t="str">
        <f t="shared" si="11"/>
        <v/>
      </c>
      <c r="K172" s="16" t="str">
        <f t="shared" si="12"/>
        <v/>
      </c>
      <c r="L172" s="16" t="str">
        <f>IF(E172="","",IFERROR(INDEX(tblProductos[COSTO TOTAL],MATCH(E172,tblProductos[ITEM],0)),""))</f>
        <v/>
      </c>
      <c r="M172" s="16" t="str">
        <f t="shared" si="13"/>
        <v/>
      </c>
      <c r="N172" s="16" t="str">
        <f t="shared" si="14"/>
        <v/>
      </c>
      <c r="O172" s="14" t="s">
        <v>34</v>
      </c>
      <c r="P172" s="14" t="s">
        <v>35</v>
      </c>
      <c r="Q172" s="14" t="s">
        <v>36</v>
      </c>
      <c r="R172" s="14"/>
      <c r="S172" t="str">
        <f>IF(E172="","",IFERROR(INDEX(tblProductos[STOCK_ACTUAL],MATCH(E172,tblProductos[ITEM],0)),""))</f>
        <v/>
      </c>
    </row>
    <row r="173" spans="1:19" x14ac:dyDescent="0.3">
      <c r="A173" s="40"/>
      <c r="B173" s="14" t="str">
        <f t="shared" si="10"/>
        <v/>
      </c>
      <c r="C173" s="14" t="str">
        <f>IF(D173="","",IFERROR(INDEX(tblClientes[ID],MATCH(D173,tblClientes[NOMBRE],0)),""))</f>
        <v/>
      </c>
      <c r="D173" s="14"/>
      <c r="E173" s="14"/>
      <c r="F173" s="14" t="str">
        <f>IF(E173="","",IFERROR(INDEX(tblProductos[CATEGORIA],MATCH(E173,tblProductos[ITEM],0)),""))</f>
        <v/>
      </c>
      <c r="G173" s="15"/>
      <c r="H173" s="16"/>
      <c r="I173" s="16" t="str">
        <f>IF(E173="","",IFERROR(INDEX(tblProductos[PRECIO_VENTA],MATCH(E173,tblProductos[ITEM],0)),""))</f>
        <v/>
      </c>
      <c r="J173" s="16" t="str">
        <f t="shared" si="11"/>
        <v/>
      </c>
      <c r="K173" s="16" t="str">
        <f t="shared" si="12"/>
        <v/>
      </c>
      <c r="L173" s="16" t="str">
        <f>IF(E173="","",IFERROR(INDEX(tblProductos[COSTO TOTAL],MATCH(E173,tblProductos[ITEM],0)),""))</f>
        <v/>
      </c>
      <c r="M173" s="16" t="str">
        <f t="shared" si="13"/>
        <v/>
      </c>
      <c r="N173" s="16" t="str">
        <f t="shared" si="14"/>
        <v/>
      </c>
      <c r="O173" s="14" t="s">
        <v>34</v>
      </c>
      <c r="P173" s="14" t="s">
        <v>35</v>
      </c>
      <c r="Q173" s="14" t="s">
        <v>36</v>
      </c>
      <c r="R173" s="14"/>
      <c r="S173" t="str">
        <f>IF(E173="","",IFERROR(INDEX(tblProductos[STOCK_ACTUAL],MATCH(E173,tblProductos[ITEM],0)),""))</f>
        <v/>
      </c>
    </row>
    <row r="174" spans="1:19" x14ac:dyDescent="0.3">
      <c r="A174" s="40"/>
      <c r="B174" s="14" t="str">
        <f t="shared" si="10"/>
        <v/>
      </c>
      <c r="C174" s="14" t="str">
        <f>IF(D174="","",IFERROR(INDEX(tblClientes[ID],MATCH(D174,tblClientes[NOMBRE],0)),""))</f>
        <v/>
      </c>
      <c r="D174" s="14"/>
      <c r="E174" s="14"/>
      <c r="F174" s="14" t="str">
        <f>IF(E174="","",IFERROR(INDEX(tblProductos[CATEGORIA],MATCH(E174,tblProductos[ITEM],0)),""))</f>
        <v/>
      </c>
      <c r="G174" s="15"/>
      <c r="H174" s="16"/>
      <c r="I174" s="16" t="str">
        <f>IF(E174="","",IFERROR(INDEX(tblProductos[PRECIO_VENTA],MATCH(E174,tblProductos[ITEM],0)),""))</f>
        <v/>
      </c>
      <c r="J174" s="16" t="str">
        <f t="shared" si="11"/>
        <v/>
      </c>
      <c r="K174" s="16" t="str">
        <f t="shared" si="12"/>
        <v/>
      </c>
      <c r="L174" s="16" t="str">
        <f>IF(E174="","",IFERROR(INDEX(tblProductos[COSTO TOTAL],MATCH(E174,tblProductos[ITEM],0)),""))</f>
        <v/>
      </c>
      <c r="M174" s="16" t="str">
        <f t="shared" si="13"/>
        <v/>
      </c>
      <c r="N174" s="16" t="str">
        <f t="shared" si="14"/>
        <v/>
      </c>
      <c r="O174" s="14" t="s">
        <v>34</v>
      </c>
      <c r="P174" s="14" t="s">
        <v>35</v>
      </c>
      <c r="Q174" s="14" t="s">
        <v>36</v>
      </c>
      <c r="R174" s="14"/>
      <c r="S174" t="str">
        <f>IF(E174="","",IFERROR(INDEX(tblProductos[STOCK_ACTUAL],MATCH(E174,tblProductos[ITEM],0)),""))</f>
        <v/>
      </c>
    </row>
    <row r="175" spans="1:19" x14ac:dyDescent="0.3">
      <c r="A175" s="40"/>
      <c r="B175" s="14" t="str">
        <f t="shared" si="10"/>
        <v/>
      </c>
      <c r="C175" s="14" t="str">
        <f>IF(D175="","",IFERROR(INDEX(tblClientes[ID],MATCH(D175,tblClientes[NOMBRE],0)),""))</f>
        <v/>
      </c>
      <c r="D175" s="14"/>
      <c r="E175" s="14"/>
      <c r="F175" s="14" t="str">
        <f>IF(E175="","",IFERROR(INDEX(tblProductos[CATEGORIA],MATCH(E175,tblProductos[ITEM],0)),""))</f>
        <v/>
      </c>
      <c r="G175" s="15"/>
      <c r="H175" s="16"/>
      <c r="I175" s="16" t="str">
        <f>IF(E175="","",IFERROR(INDEX(tblProductos[PRECIO_VENTA],MATCH(E175,tblProductos[ITEM],0)),""))</f>
        <v/>
      </c>
      <c r="J175" s="16" t="str">
        <f t="shared" si="11"/>
        <v/>
      </c>
      <c r="K175" s="16" t="str">
        <f t="shared" si="12"/>
        <v/>
      </c>
      <c r="L175" s="16" t="str">
        <f>IF(E175="","",IFERROR(INDEX(tblProductos[COSTO TOTAL],MATCH(E175,tblProductos[ITEM],0)),""))</f>
        <v/>
      </c>
      <c r="M175" s="16" t="str">
        <f t="shared" si="13"/>
        <v/>
      </c>
      <c r="N175" s="16" t="str">
        <f t="shared" si="14"/>
        <v/>
      </c>
      <c r="O175" s="14" t="s">
        <v>34</v>
      </c>
      <c r="P175" s="14" t="s">
        <v>35</v>
      </c>
      <c r="Q175" s="14" t="s">
        <v>36</v>
      </c>
      <c r="R175" s="14"/>
      <c r="S175" t="str">
        <f>IF(E175="","",IFERROR(INDEX(tblProductos[STOCK_ACTUAL],MATCH(E175,tblProductos[ITEM],0)),""))</f>
        <v/>
      </c>
    </row>
    <row r="176" spans="1:19" x14ac:dyDescent="0.3">
      <c r="A176" s="40"/>
      <c r="B176" s="14" t="str">
        <f t="shared" si="10"/>
        <v/>
      </c>
      <c r="C176" s="14" t="str">
        <f>IF(D176="","",IFERROR(INDEX(tblClientes[ID],MATCH(D176,tblClientes[NOMBRE],0)),""))</f>
        <v/>
      </c>
      <c r="D176" s="14"/>
      <c r="E176" s="14"/>
      <c r="F176" s="14" t="str">
        <f>IF(E176="","",IFERROR(INDEX(tblProductos[CATEGORIA],MATCH(E176,tblProductos[ITEM],0)),""))</f>
        <v/>
      </c>
      <c r="G176" s="15"/>
      <c r="H176" s="16"/>
      <c r="I176" s="16" t="str">
        <f>IF(E176="","",IFERROR(INDEX(tblProductos[PRECIO_VENTA],MATCH(E176,tblProductos[ITEM],0)),""))</f>
        <v/>
      </c>
      <c r="J176" s="16" t="str">
        <f t="shared" si="11"/>
        <v/>
      </c>
      <c r="K176" s="16" t="str">
        <f t="shared" si="12"/>
        <v/>
      </c>
      <c r="L176" s="16" t="str">
        <f>IF(E176="","",IFERROR(INDEX(tblProductos[COSTO TOTAL],MATCH(E176,tblProductos[ITEM],0)),""))</f>
        <v/>
      </c>
      <c r="M176" s="16" t="str">
        <f t="shared" si="13"/>
        <v/>
      </c>
      <c r="N176" s="16" t="str">
        <f t="shared" si="14"/>
        <v/>
      </c>
      <c r="O176" s="14" t="s">
        <v>34</v>
      </c>
      <c r="P176" s="14" t="s">
        <v>35</v>
      </c>
      <c r="Q176" s="14" t="s">
        <v>36</v>
      </c>
      <c r="R176" s="14"/>
      <c r="S176" t="str">
        <f>IF(E176="","",IFERROR(INDEX(tblProductos[STOCK_ACTUAL],MATCH(E176,tblProductos[ITEM],0)),""))</f>
        <v/>
      </c>
    </row>
    <row r="177" spans="1:19" x14ac:dyDescent="0.3">
      <c r="A177" s="40"/>
      <c r="B177" s="14" t="str">
        <f t="shared" si="10"/>
        <v/>
      </c>
      <c r="C177" s="14" t="str">
        <f>IF(D177="","",IFERROR(INDEX(tblClientes[ID],MATCH(D177,tblClientes[NOMBRE],0)),""))</f>
        <v/>
      </c>
      <c r="D177" s="14"/>
      <c r="E177" s="14"/>
      <c r="F177" s="14" t="str">
        <f>IF(E177="","",IFERROR(INDEX(tblProductos[CATEGORIA],MATCH(E177,tblProductos[ITEM],0)),""))</f>
        <v/>
      </c>
      <c r="G177" s="15"/>
      <c r="H177" s="16"/>
      <c r="I177" s="16" t="str">
        <f>IF(E177="","",IFERROR(INDEX(tblProductos[PRECIO_VENTA],MATCH(E177,tblProductos[ITEM],0)),""))</f>
        <v/>
      </c>
      <c r="J177" s="16" t="str">
        <f t="shared" si="11"/>
        <v/>
      </c>
      <c r="K177" s="16" t="str">
        <f t="shared" si="12"/>
        <v/>
      </c>
      <c r="L177" s="16" t="str">
        <f>IF(E177="","",IFERROR(INDEX(tblProductos[COSTO TOTAL],MATCH(E177,tblProductos[ITEM],0)),""))</f>
        <v/>
      </c>
      <c r="M177" s="16" t="str">
        <f t="shared" si="13"/>
        <v/>
      </c>
      <c r="N177" s="16" t="str">
        <f t="shared" si="14"/>
        <v/>
      </c>
      <c r="O177" s="14" t="s">
        <v>34</v>
      </c>
      <c r="P177" s="14" t="s">
        <v>35</v>
      </c>
      <c r="Q177" s="14" t="s">
        <v>36</v>
      </c>
      <c r="R177" s="14"/>
      <c r="S177" t="str">
        <f>IF(E177="","",IFERROR(INDEX(tblProductos[STOCK_ACTUAL],MATCH(E177,tblProductos[ITEM],0)),""))</f>
        <v/>
      </c>
    </row>
    <row r="178" spans="1:19" x14ac:dyDescent="0.3">
      <c r="A178" s="40"/>
      <c r="B178" s="14" t="str">
        <f t="shared" si="10"/>
        <v/>
      </c>
      <c r="C178" s="14" t="str">
        <f>IF(D178="","",IFERROR(INDEX(tblClientes[ID],MATCH(D178,tblClientes[NOMBRE],0)),""))</f>
        <v/>
      </c>
      <c r="D178" s="14"/>
      <c r="E178" s="14"/>
      <c r="F178" s="14" t="str">
        <f>IF(E178="","",IFERROR(INDEX(tblProductos[CATEGORIA],MATCH(E178,tblProductos[ITEM],0)),""))</f>
        <v/>
      </c>
      <c r="G178" s="15"/>
      <c r="H178" s="16"/>
      <c r="I178" s="16" t="str">
        <f>IF(E178="","",IFERROR(INDEX(tblProductos[PRECIO_VENTA],MATCH(E178,tblProductos[ITEM],0)),""))</f>
        <v/>
      </c>
      <c r="J178" s="16" t="str">
        <f t="shared" si="11"/>
        <v/>
      </c>
      <c r="K178" s="16" t="str">
        <f t="shared" si="12"/>
        <v/>
      </c>
      <c r="L178" s="16" t="str">
        <f>IF(E178="","",IFERROR(INDEX(tblProductos[COSTO TOTAL],MATCH(E178,tblProductos[ITEM],0)),""))</f>
        <v/>
      </c>
      <c r="M178" s="16" t="str">
        <f t="shared" si="13"/>
        <v/>
      </c>
      <c r="N178" s="16" t="str">
        <f t="shared" si="14"/>
        <v/>
      </c>
      <c r="O178" s="14" t="s">
        <v>34</v>
      </c>
      <c r="P178" s="14" t="s">
        <v>35</v>
      </c>
      <c r="Q178" s="14" t="s">
        <v>36</v>
      </c>
      <c r="R178" s="14"/>
      <c r="S178" t="str">
        <f>IF(E178="","",IFERROR(INDEX(tblProductos[STOCK_ACTUAL],MATCH(E178,tblProductos[ITEM],0)),""))</f>
        <v/>
      </c>
    </row>
    <row r="179" spans="1:19" x14ac:dyDescent="0.3">
      <c r="A179" s="40"/>
      <c r="B179" s="14" t="str">
        <f t="shared" si="10"/>
        <v/>
      </c>
      <c r="C179" s="14" t="str">
        <f>IF(D179="","",IFERROR(INDEX(tblClientes[ID],MATCH(D179,tblClientes[NOMBRE],0)),""))</f>
        <v/>
      </c>
      <c r="D179" s="14"/>
      <c r="E179" s="14"/>
      <c r="F179" s="14" t="str">
        <f>IF(E179="","",IFERROR(INDEX(tblProductos[CATEGORIA],MATCH(E179,tblProductos[ITEM],0)),""))</f>
        <v/>
      </c>
      <c r="G179" s="15"/>
      <c r="H179" s="16"/>
      <c r="I179" s="16" t="str">
        <f>IF(E179="","",IFERROR(INDEX(tblProductos[PRECIO_VENTA],MATCH(E179,tblProductos[ITEM],0)),""))</f>
        <v/>
      </c>
      <c r="J179" s="16" t="str">
        <f t="shared" si="11"/>
        <v/>
      </c>
      <c r="K179" s="16" t="str">
        <f t="shared" si="12"/>
        <v/>
      </c>
      <c r="L179" s="16" t="str">
        <f>IF(E179="","",IFERROR(INDEX(tblProductos[COSTO TOTAL],MATCH(E179,tblProductos[ITEM],0)),""))</f>
        <v/>
      </c>
      <c r="M179" s="16" t="str">
        <f t="shared" si="13"/>
        <v/>
      </c>
      <c r="N179" s="16" t="str">
        <f t="shared" si="14"/>
        <v/>
      </c>
      <c r="O179" s="14" t="s">
        <v>34</v>
      </c>
      <c r="P179" s="14" t="s">
        <v>35</v>
      </c>
      <c r="Q179" s="14" t="s">
        <v>36</v>
      </c>
      <c r="R179" s="14"/>
      <c r="S179" t="str">
        <f>IF(E179="","",IFERROR(INDEX(tblProductos[STOCK_ACTUAL],MATCH(E179,tblProductos[ITEM],0)),""))</f>
        <v/>
      </c>
    </row>
    <row r="180" spans="1:19" x14ac:dyDescent="0.3">
      <c r="A180" s="40"/>
      <c r="B180" s="14" t="str">
        <f t="shared" si="10"/>
        <v/>
      </c>
      <c r="C180" s="14" t="str">
        <f>IF(D180="","",IFERROR(INDEX(tblClientes[ID],MATCH(D180,tblClientes[NOMBRE],0)),""))</f>
        <v/>
      </c>
      <c r="D180" s="14"/>
      <c r="E180" s="14"/>
      <c r="F180" s="14" t="str">
        <f>IF(E180="","",IFERROR(INDEX(tblProductos[CATEGORIA],MATCH(E180,tblProductos[ITEM],0)),""))</f>
        <v/>
      </c>
      <c r="G180" s="15"/>
      <c r="H180" s="16"/>
      <c r="I180" s="16" t="str">
        <f>IF(E180="","",IFERROR(INDEX(tblProductos[PRECIO_VENTA],MATCH(E180,tblProductos[ITEM],0)),""))</f>
        <v/>
      </c>
      <c r="J180" s="16" t="str">
        <f t="shared" si="11"/>
        <v/>
      </c>
      <c r="K180" s="16" t="str">
        <f t="shared" si="12"/>
        <v/>
      </c>
      <c r="L180" s="16" t="str">
        <f>IF(E180="","",IFERROR(INDEX(tblProductos[COSTO TOTAL],MATCH(E180,tblProductos[ITEM],0)),""))</f>
        <v/>
      </c>
      <c r="M180" s="16" t="str">
        <f t="shared" si="13"/>
        <v/>
      </c>
      <c r="N180" s="16" t="str">
        <f t="shared" si="14"/>
        <v/>
      </c>
      <c r="O180" s="14" t="s">
        <v>34</v>
      </c>
      <c r="P180" s="14" t="s">
        <v>35</v>
      </c>
      <c r="Q180" s="14" t="s">
        <v>36</v>
      </c>
      <c r="R180" s="14"/>
      <c r="S180" t="str">
        <f>IF(E180="","",IFERROR(INDEX(tblProductos[STOCK_ACTUAL],MATCH(E180,tblProductos[ITEM],0)),""))</f>
        <v/>
      </c>
    </row>
    <row r="181" spans="1:19" x14ac:dyDescent="0.3">
      <c r="A181" s="40"/>
      <c r="B181" s="14" t="str">
        <f t="shared" si="10"/>
        <v/>
      </c>
      <c r="C181" s="14" t="str">
        <f>IF(D181="","",IFERROR(INDEX(tblClientes[ID],MATCH(D181,tblClientes[NOMBRE],0)),""))</f>
        <v/>
      </c>
      <c r="D181" s="14"/>
      <c r="E181" s="14"/>
      <c r="F181" s="14" t="str">
        <f>IF(E181="","",IFERROR(INDEX(tblProductos[CATEGORIA],MATCH(E181,tblProductos[ITEM],0)),""))</f>
        <v/>
      </c>
      <c r="G181" s="15"/>
      <c r="H181" s="16"/>
      <c r="I181" s="16" t="str">
        <f>IF(E181="","",IFERROR(INDEX(tblProductos[PRECIO_VENTA],MATCH(E181,tblProductos[ITEM],0)),""))</f>
        <v/>
      </c>
      <c r="J181" s="16" t="str">
        <f t="shared" si="11"/>
        <v/>
      </c>
      <c r="K181" s="16" t="str">
        <f t="shared" si="12"/>
        <v/>
      </c>
      <c r="L181" s="16" t="str">
        <f>IF(E181="","",IFERROR(INDEX(tblProductos[COSTO TOTAL],MATCH(E181,tblProductos[ITEM],0)),""))</f>
        <v/>
      </c>
      <c r="M181" s="16" t="str">
        <f t="shared" si="13"/>
        <v/>
      </c>
      <c r="N181" s="16" t="str">
        <f t="shared" si="14"/>
        <v/>
      </c>
      <c r="O181" s="14" t="s">
        <v>34</v>
      </c>
      <c r="P181" s="14" t="s">
        <v>35</v>
      </c>
      <c r="Q181" s="14" t="s">
        <v>36</v>
      </c>
      <c r="R181" s="14"/>
      <c r="S181" t="str">
        <f>IF(E181="","",IFERROR(INDEX(tblProductos[STOCK_ACTUAL],MATCH(E181,tblProductos[ITEM],0)),""))</f>
        <v/>
      </c>
    </row>
    <row r="182" spans="1:19" x14ac:dyDescent="0.3">
      <c r="A182" s="40"/>
      <c r="B182" s="14" t="str">
        <f t="shared" si="10"/>
        <v/>
      </c>
      <c r="C182" s="14" t="str">
        <f>IF(D182="","",IFERROR(INDEX(tblClientes[ID],MATCH(D182,tblClientes[NOMBRE],0)),""))</f>
        <v/>
      </c>
      <c r="D182" s="14"/>
      <c r="E182" s="14"/>
      <c r="F182" s="14" t="str">
        <f>IF(E182="","",IFERROR(INDEX(tblProductos[CATEGORIA],MATCH(E182,tblProductos[ITEM],0)),""))</f>
        <v/>
      </c>
      <c r="G182" s="15"/>
      <c r="H182" s="16"/>
      <c r="I182" s="16" t="str">
        <f>IF(E182="","",IFERROR(INDEX(tblProductos[PRECIO_VENTA],MATCH(E182,tblProductos[ITEM],0)),""))</f>
        <v/>
      </c>
      <c r="J182" s="16" t="str">
        <f t="shared" si="11"/>
        <v/>
      </c>
      <c r="K182" s="16" t="str">
        <f t="shared" si="12"/>
        <v/>
      </c>
      <c r="L182" s="16" t="str">
        <f>IF(E182="","",IFERROR(INDEX(tblProductos[COSTO TOTAL],MATCH(E182,tblProductos[ITEM],0)),""))</f>
        <v/>
      </c>
      <c r="M182" s="16" t="str">
        <f t="shared" si="13"/>
        <v/>
      </c>
      <c r="N182" s="16" t="str">
        <f t="shared" si="14"/>
        <v/>
      </c>
      <c r="O182" s="14" t="s">
        <v>34</v>
      </c>
      <c r="P182" s="14" t="s">
        <v>35</v>
      </c>
      <c r="Q182" s="14" t="s">
        <v>36</v>
      </c>
      <c r="R182" s="14"/>
      <c r="S182" t="str">
        <f>IF(E182="","",IFERROR(INDEX(tblProductos[STOCK_ACTUAL],MATCH(E182,tblProductos[ITEM],0)),""))</f>
        <v/>
      </c>
    </row>
    <row r="183" spans="1:19" x14ac:dyDescent="0.3">
      <c r="A183" s="40"/>
      <c r="B183" s="14" t="str">
        <f t="shared" si="10"/>
        <v/>
      </c>
      <c r="C183" s="14" t="str">
        <f>IF(D183="","",IFERROR(INDEX(tblClientes[ID],MATCH(D183,tblClientes[NOMBRE],0)),""))</f>
        <v/>
      </c>
      <c r="D183" s="14"/>
      <c r="E183" s="14"/>
      <c r="F183" s="14" t="str">
        <f>IF(E183="","",IFERROR(INDEX(tblProductos[CATEGORIA],MATCH(E183,tblProductos[ITEM],0)),""))</f>
        <v/>
      </c>
      <c r="G183" s="15"/>
      <c r="H183" s="16"/>
      <c r="I183" s="16" t="str">
        <f>IF(E183="","",IFERROR(INDEX(tblProductos[PRECIO_VENTA],MATCH(E183,tblProductos[ITEM],0)),""))</f>
        <v/>
      </c>
      <c r="J183" s="16" t="str">
        <f t="shared" si="11"/>
        <v/>
      </c>
      <c r="K183" s="16" t="str">
        <f t="shared" si="12"/>
        <v/>
      </c>
      <c r="L183" s="16" t="str">
        <f>IF(E183="","",IFERROR(INDEX(tblProductos[COSTO TOTAL],MATCH(E183,tblProductos[ITEM],0)),""))</f>
        <v/>
      </c>
      <c r="M183" s="16" t="str">
        <f t="shared" si="13"/>
        <v/>
      </c>
      <c r="N183" s="16" t="str">
        <f t="shared" si="14"/>
        <v/>
      </c>
      <c r="O183" s="14" t="s">
        <v>34</v>
      </c>
      <c r="P183" s="14" t="s">
        <v>35</v>
      </c>
      <c r="Q183" s="14" t="s">
        <v>36</v>
      </c>
      <c r="R183" s="14"/>
      <c r="S183" t="str">
        <f>IF(E183="","",IFERROR(INDEX(tblProductos[STOCK_ACTUAL],MATCH(E183,tblProductos[ITEM],0)),""))</f>
        <v/>
      </c>
    </row>
    <row r="184" spans="1:19" x14ac:dyDescent="0.3">
      <c r="A184" s="40"/>
      <c r="B184" s="14" t="str">
        <f t="shared" si="10"/>
        <v/>
      </c>
      <c r="C184" s="14" t="str">
        <f>IF(D184="","",IFERROR(INDEX(tblClientes[ID],MATCH(D184,tblClientes[NOMBRE],0)),""))</f>
        <v/>
      </c>
      <c r="D184" s="14"/>
      <c r="E184" s="14"/>
      <c r="F184" s="14" t="str">
        <f>IF(E184="","",IFERROR(INDEX(tblProductos[CATEGORIA],MATCH(E184,tblProductos[ITEM],0)),""))</f>
        <v/>
      </c>
      <c r="G184" s="15"/>
      <c r="H184" s="16"/>
      <c r="I184" s="16" t="str">
        <f>IF(E184="","",IFERROR(INDEX(tblProductos[PRECIO_VENTA],MATCH(E184,tblProductos[ITEM],0)),""))</f>
        <v/>
      </c>
      <c r="J184" s="16" t="str">
        <f t="shared" si="11"/>
        <v/>
      </c>
      <c r="K184" s="16" t="str">
        <f t="shared" si="12"/>
        <v/>
      </c>
      <c r="L184" s="16" t="str">
        <f>IF(E184="","",IFERROR(INDEX(tblProductos[COSTO TOTAL],MATCH(E184,tblProductos[ITEM],0)),""))</f>
        <v/>
      </c>
      <c r="M184" s="16" t="str">
        <f t="shared" si="13"/>
        <v/>
      </c>
      <c r="N184" s="16" t="str">
        <f t="shared" si="14"/>
        <v/>
      </c>
      <c r="O184" s="14" t="s">
        <v>34</v>
      </c>
      <c r="P184" s="14" t="s">
        <v>35</v>
      </c>
      <c r="Q184" s="14" t="s">
        <v>36</v>
      </c>
      <c r="R184" s="14"/>
      <c r="S184" t="str">
        <f>IF(E184="","",IFERROR(INDEX(tblProductos[STOCK_ACTUAL],MATCH(E184,tblProductos[ITEM],0)),""))</f>
        <v/>
      </c>
    </row>
    <row r="185" spans="1:19" x14ac:dyDescent="0.3">
      <c r="A185" s="40"/>
      <c r="B185" s="14" t="str">
        <f t="shared" si="10"/>
        <v/>
      </c>
      <c r="C185" s="14" t="str">
        <f>IF(D185="","",IFERROR(INDEX(tblClientes[ID],MATCH(D185,tblClientes[NOMBRE],0)),""))</f>
        <v/>
      </c>
      <c r="D185" s="14"/>
      <c r="E185" s="14"/>
      <c r="F185" s="14" t="str">
        <f>IF(E185="","",IFERROR(INDEX(tblProductos[CATEGORIA],MATCH(E185,tblProductos[ITEM],0)),""))</f>
        <v/>
      </c>
      <c r="G185" s="15"/>
      <c r="H185" s="16"/>
      <c r="I185" s="16" t="str">
        <f>IF(E185="","",IFERROR(INDEX(tblProductos[PRECIO_VENTA],MATCH(E185,tblProductos[ITEM],0)),""))</f>
        <v/>
      </c>
      <c r="J185" s="16" t="str">
        <f t="shared" si="11"/>
        <v/>
      </c>
      <c r="K185" s="16" t="str">
        <f t="shared" si="12"/>
        <v/>
      </c>
      <c r="L185" s="16" t="str">
        <f>IF(E185="","",IFERROR(INDEX(tblProductos[COSTO TOTAL],MATCH(E185,tblProductos[ITEM],0)),""))</f>
        <v/>
      </c>
      <c r="M185" s="16" t="str">
        <f t="shared" si="13"/>
        <v/>
      </c>
      <c r="N185" s="16" t="str">
        <f t="shared" si="14"/>
        <v/>
      </c>
      <c r="O185" s="14" t="s">
        <v>34</v>
      </c>
      <c r="P185" s="14" t="s">
        <v>35</v>
      </c>
      <c r="Q185" s="14" t="s">
        <v>36</v>
      </c>
      <c r="R185" s="14"/>
      <c r="S185" t="str">
        <f>IF(E185="","",IFERROR(INDEX(tblProductos[STOCK_ACTUAL],MATCH(E185,tblProductos[ITEM],0)),""))</f>
        <v/>
      </c>
    </row>
    <row r="186" spans="1:19" x14ac:dyDescent="0.3">
      <c r="A186" s="40"/>
      <c r="B186" s="14" t="str">
        <f t="shared" si="10"/>
        <v/>
      </c>
      <c r="C186" s="14" t="str">
        <f>IF(D186="","",IFERROR(INDEX(tblClientes[ID],MATCH(D186,tblClientes[NOMBRE],0)),""))</f>
        <v/>
      </c>
      <c r="D186" s="14"/>
      <c r="E186" s="14"/>
      <c r="F186" s="14" t="str">
        <f>IF(E186="","",IFERROR(INDEX(tblProductos[CATEGORIA],MATCH(E186,tblProductos[ITEM],0)),""))</f>
        <v/>
      </c>
      <c r="G186" s="15"/>
      <c r="H186" s="16"/>
      <c r="I186" s="16" t="str">
        <f>IF(E186="","",IFERROR(INDEX(tblProductos[PRECIO_VENTA],MATCH(E186,tblProductos[ITEM],0)),""))</f>
        <v/>
      </c>
      <c r="J186" s="16" t="str">
        <f t="shared" si="11"/>
        <v/>
      </c>
      <c r="K186" s="16" t="str">
        <f t="shared" si="12"/>
        <v/>
      </c>
      <c r="L186" s="16" t="str">
        <f>IF(E186="","",IFERROR(INDEX(tblProductos[COSTO TOTAL],MATCH(E186,tblProductos[ITEM],0)),""))</f>
        <v/>
      </c>
      <c r="M186" s="16" t="str">
        <f t="shared" si="13"/>
        <v/>
      </c>
      <c r="N186" s="16" t="str">
        <f t="shared" si="14"/>
        <v/>
      </c>
      <c r="O186" s="14" t="s">
        <v>34</v>
      </c>
      <c r="P186" s="14" t="s">
        <v>35</v>
      </c>
      <c r="Q186" s="14" t="s">
        <v>36</v>
      </c>
      <c r="R186" s="14"/>
      <c r="S186" t="str">
        <f>IF(E186="","",IFERROR(INDEX(tblProductos[STOCK_ACTUAL],MATCH(E186,tblProductos[ITEM],0)),""))</f>
        <v/>
      </c>
    </row>
    <row r="187" spans="1:19" x14ac:dyDescent="0.3">
      <c r="A187" s="40"/>
      <c r="B187" s="14" t="str">
        <f t="shared" si="10"/>
        <v/>
      </c>
      <c r="C187" s="14" t="str">
        <f>IF(D187="","",IFERROR(INDEX(tblClientes[ID],MATCH(D187,tblClientes[NOMBRE],0)),""))</f>
        <v/>
      </c>
      <c r="D187" s="14"/>
      <c r="E187" s="14"/>
      <c r="F187" s="14" t="str">
        <f>IF(E187="","",IFERROR(INDEX(tblProductos[CATEGORIA],MATCH(E187,tblProductos[ITEM],0)),""))</f>
        <v/>
      </c>
      <c r="G187" s="15"/>
      <c r="H187" s="16"/>
      <c r="I187" s="16" t="str">
        <f>IF(E187="","",IFERROR(INDEX(tblProductos[PRECIO_VENTA],MATCH(E187,tblProductos[ITEM],0)),""))</f>
        <v/>
      </c>
      <c r="J187" s="16" t="str">
        <f t="shared" si="11"/>
        <v/>
      </c>
      <c r="K187" s="16" t="str">
        <f t="shared" si="12"/>
        <v/>
      </c>
      <c r="L187" s="16" t="str">
        <f>IF(E187="","",IFERROR(INDEX(tblProductos[COSTO TOTAL],MATCH(E187,tblProductos[ITEM],0)),""))</f>
        <v/>
      </c>
      <c r="M187" s="16" t="str">
        <f t="shared" si="13"/>
        <v/>
      </c>
      <c r="N187" s="16" t="str">
        <f t="shared" si="14"/>
        <v/>
      </c>
      <c r="O187" s="14" t="s">
        <v>34</v>
      </c>
      <c r="P187" s="14" t="s">
        <v>35</v>
      </c>
      <c r="Q187" s="14" t="s">
        <v>36</v>
      </c>
      <c r="R187" s="14"/>
      <c r="S187" t="str">
        <f>IF(E187="","",IFERROR(INDEX(tblProductos[STOCK_ACTUAL],MATCH(E187,tblProductos[ITEM],0)),""))</f>
        <v/>
      </c>
    </row>
    <row r="188" spans="1:19" x14ac:dyDescent="0.3">
      <c r="A188" s="40"/>
      <c r="B188" s="14" t="str">
        <f t="shared" si="10"/>
        <v/>
      </c>
      <c r="C188" s="14" t="str">
        <f>IF(D188="","",IFERROR(INDEX(tblClientes[ID],MATCH(D188,tblClientes[NOMBRE],0)),""))</f>
        <v/>
      </c>
      <c r="D188" s="14"/>
      <c r="E188" s="14"/>
      <c r="F188" s="14" t="str">
        <f>IF(E188="","",IFERROR(INDEX(tblProductos[CATEGORIA],MATCH(E188,tblProductos[ITEM],0)),""))</f>
        <v/>
      </c>
      <c r="G188" s="15"/>
      <c r="H188" s="16"/>
      <c r="I188" s="16" t="str">
        <f>IF(E188="","",IFERROR(INDEX(tblProductos[PRECIO_VENTA],MATCH(E188,tblProductos[ITEM],0)),""))</f>
        <v/>
      </c>
      <c r="J188" s="16" t="str">
        <f t="shared" si="11"/>
        <v/>
      </c>
      <c r="K188" s="16" t="str">
        <f t="shared" si="12"/>
        <v/>
      </c>
      <c r="L188" s="16" t="str">
        <f>IF(E188="","",IFERROR(INDEX(tblProductos[COSTO TOTAL],MATCH(E188,tblProductos[ITEM],0)),""))</f>
        <v/>
      </c>
      <c r="M188" s="16" t="str">
        <f t="shared" si="13"/>
        <v/>
      </c>
      <c r="N188" s="16" t="str">
        <f t="shared" si="14"/>
        <v/>
      </c>
      <c r="O188" s="14" t="s">
        <v>34</v>
      </c>
      <c r="P188" s="14" t="s">
        <v>35</v>
      </c>
      <c r="Q188" s="14" t="s">
        <v>36</v>
      </c>
      <c r="R188" s="14"/>
      <c r="S188" t="str">
        <f>IF(E188="","",IFERROR(INDEX(tblProductos[STOCK_ACTUAL],MATCH(E188,tblProductos[ITEM],0)),""))</f>
        <v/>
      </c>
    </row>
    <row r="189" spans="1:19" x14ac:dyDescent="0.3">
      <c r="A189" s="40"/>
      <c r="B189" s="14" t="str">
        <f t="shared" si="10"/>
        <v/>
      </c>
      <c r="C189" s="14" t="str">
        <f>IF(D189="","",IFERROR(INDEX(tblClientes[ID],MATCH(D189,tblClientes[NOMBRE],0)),""))</f>
        <v/>
      </c>
      <c r="D189" s="14"/>
      <c r="E189" s="14"/>
      <c r="F189" s="14" t="str">
        <f>IF(E189="","",IFERROR(INDEX(tblProductos[CATEGORIA],MATCH(E189,tblProductos[ITEM],0)),""))</f>
        <v/>
      </c>
      <c r="G189" s="15"/>
      <c r="H189" s="16"/>
      <c r="I189" s="16" t="str">
        <f>IF(E189="","",IFERROR(INDEX(tblProductos[PRECIO_VENTA],MATCH(E189,tblProductos[ITEM],0)),""))</f>
        <v/>
      </c>
      <c r="J189" s="16" t="str">
        <f t="shared" si="11"/>
        <v/>
      </c>
      <c r="K189" s="16" t="str">
        <f t="shared" si="12"/>
        <v/>
      </c>
      <c r="L189" s="16" t="str">
        <f>IF(E189="","",IFERROR(INDEX(tblProductos[COSTO TOTAL],MATCH(E189,tblProductos[ITEM],0)),""))</f>
        <v/>
      </c>
      <c r="M189" s="16" t="str">
        <f t="shared" si="13"/>
        <v/>
      </c>
      <c r="N189" s="16" t="str">
        <f t="shared" si="14"/>
        <v/>
      </c>
      <c r="O189" s="14" t="s">
        <v>34</v>
      </c>
      <c r="P189" s="14" t="s">
        <v>35</v>
      </c>
      <c r="Q189" s="14" t="s">
        <v>36</v>
      </c>
      <c r="R189" s="14"/>
      <c r="S189" t="str">
        <f>IF(E189="","",IFERROR(INDEX(tblProductos[STOCK_ACTUAL],MATCH(E189,tblProductos[ITEM],0)),""))</f>
        <v/>
      </c>
    </row>
    <row r="190" spans="1:19" x14ac:dyDescent="0.3">
      <c r="A190" s="40"/>
      <c r="B190" s="14" t="str">
        <f t="shared" si="10"/>
        <v/>
      </c>
      <c r="C190" s="14" t="str">
        <f>IF(D190="","",IFERROR(INDEX(tblClientes[ID],MATCH(D190,tblClientes[NOMBRE],0)),""))</f>
        <v/>
      </c>
      <c r="D190" s="14"/>
      <c r="E190" s="14"/>
      <c r="F190" s="14" t="str">
        <f>IF(E190="","",IFERROR(INDEX(tblProductos[CATEGORIA],MATCH(E190,tblProductos[ITEM],0)),""))</f>
        <v/>
      </c>
      <c r="G190" s="15"/>
      <c r="H190" s="16"/>
      <c r="I190" s="16" t="str">
        <f>IF(E190="","",IFERROR(INDEX(tblProductos[PRECIO_VENTA],MATCH(E190,tblProductos[ITEM],0)),""))</f>
        <v/>
      </c>
      <c r="J190" s="16" t="str">
        <f t="shared" si="11"/>
        <v/>
      </c>
      <c r="K190" s="16" t="str">
        <f t="shared" si="12"/>
        <v/>
      </c>
      <c r="L190" s="16" t="str">
        <f>IF(E190="","",IFERROR(INDEX(tblProductos[COSTO TOTAL],MATCH(E190,tblProductos[ITEM],0)),""))</f>
        <v/>
      </c>
      <c r="M190" s="16" t="str">
        <f t="shared" si="13"/>
        <v/>
      </c>
      <c r="N190" s="16" t="str">
        <f t="shared" si="14"/>
        <v/>
      </c>
      <c r="O190" s="14" t="s">
        <v>34</v>
      </c>
      <c r="P190" s="14" t="s">
        <v>35</v>
      </c>
      <c r="Q190" s="14" t="s">
        <v>36</v>
      </c>
      <c r="R190" s="14"/>
      <c r="S190" t="str">
        <f>IF(E190="","",IFERROR(INDEX(tblProductos[STOCK_ACTUAL],MATCH(E190,tblProductos[ITEM],0)),""))</f>
        <v/>
      </c>
    </row>
    <row r="191" spans="1:19" x14ac:dyDescent="0.3">
      <c r="A191" s="40"/>
      <c r="B191" s="14" t="str">
        <f t="shared" si="10"/>
        <v/>
      </c>
      <c r="C191" s="14" t="str">
        <f>IF(D191="","",IFERROR(INDEX(tblClientes[ID],MATCH(D191,tblClientes[NOMBRE],0)),""))</f>
        <v/>
      </c>
      <c r="D191" s="14"/>
      <c r="E191" s="14"/>
      <c r="F191" s="14" t="str">
        <f>IF(E191="","",IFERROR(INDEX(tblProductos[CATEGORIA],MATCH(E191,tblProductos[ITEM],0)),""))</f>
        <v/>
      </c>
      <c r="G191" s="15"/>
      <c r="H191" s="16"/>
      <c r="I191" s="16" t="str">
        <f>IF(E191="","",IFERROR(INDEX(tblProductos[PRECIO_VENTA],MATCH(E191,tblProductos[ITEM],0)),""))</f>
        <v/>
      </c>
      <c r="J191" s="16" t="str">
        <f t="shared" si="11"/>
        <v/>
      </c>
      <c r="K191" s="16" t="str">
        <f t="shared" si="12"/>
        <v/>
      </c>
      <c r="L191" s="16" t="str">
        <f>IF(E191="","",IFERROR(INDEX(tblProductos[COSTO TOTAL],MATCH(E191,tblProductos[ITEM],0)),""))</f>
        <v/>
      </c>
      <c r="M191" s="16" t="str">
        <f t="shared" si="13"/>
        <v/>
      </c>
      <c r="N191" s="16" t="str">
        <f t="shared" si="14"/>
        <v/>
      </c>
      <c r="O191" s="14" t="s">
        <v>34</v>
      </c>
      <c r="P191" s="14" t="s">
        <v>35</v>
      </c>
      <c r="Q191" s="14" t="s">
        <v>36</v>
      </c>
      <c r="R191" s="14"/>
      <c r="S191" t="str">
        <f>IF(E191="","",IFERROR(INDEX(tblProductos[STOCK_ACTUAL],MATCH(E191,tblProductos[ITEM],0)),""))</f>
        <v/>
      </c>
    </row>
    <row r="192" spans="1:19" x14ac:dyDescent="0.3">
      <c r="A192" s="40"/>
      <c r="B192" s="14" t="str">
        <f t="shared" si="10"/>
        <v/>
      </c>
      <c r="C192" s="14" t="str">
        <f>IF(D192="","",IFERROR(INDEX(tblClientes[ID],MATCH(D192,tblClientes[NOMBRE],0)),""))</f>
        <v/>
      </c>
      <c r="D192" s="14"/>
      <c r="E192" s="14"/>
      <c r="F192" s="14" t="str">
        <f>IF(E192="","",IFERROR(INDEX(tblProductos[CATEGORIA],MATCH(E192,tblProductos[ITEM],0)),""))</f>
        <v/>
      </c>
      <c r="G192" s="15"/>
      <c r="H192" s="16"/>
      <c r="I192" s="16" t="str">
        <f>IF(E192="","",IFERROR(INDEX(tblProductos[PRECIO_VENTA],MATCH(E192,tblProductos[ITEM],0)),""))</f>
        <v/>
      </c>
      <c r="J192" s="16" t="str">
        <f t="shared" si="11"/>
        <v/>
      </c>
      <c r="K192" s="16" t="str">
        <f t="shared" si="12"/>
        <v/>
      </c>
      <c r="L192" s="16" t="str">
        <f>IF(E192="","",IFERROR(INDEX(tblProductos[COSTO TOTAL],MATCH(E192,tblProductos[ITEM],0)),""))</f>
        <v/>
      </c>
      <c r="M192" s="16" t="str">
        <f t="shared" si="13"/>
        <v/>
      </c>
      <c r="N192" s="16" t="str">
        <f t="shared" si="14"/>
        <v/>
      </c>
      <c r="O192" s="14" t="s">
        <v>34</v>
      </c>
      <c r="P192" s="14" t="s">
        <v>35</v>
      </c>
      <c r="Q192" s="14" t="s">
        <v>36</v>
      </c>
      <c r="R192" s="14"/>
      <c r="S192" t="str">
        <f>IF(E192="","",IFERROR(INDEX(tblProductos[STOCK_ACTUAL],MATCH(E192,tblProductos[ITEM],0)),""))</f>
        <v/>
      </c>
    </row>
    <row r="193" spans="1:19" x14ac:dyDescent="0.3">
      <c r="A193" s="40"/>
      <c r="B193" s="14" t="str">
        <f t="shared" si="10"/>
        <v/>
      </c>
      <c r="C193" s="14" t="str">
        <f>IF(D193="","",IFERROR(INDEX(tblClientes[ID],MATCH(D193,tblClientes[NOMBRE],0)),""))</f>
        <v/>
      </c>
      <c r="D193" s="14"/>
      <c r="E193" s="14"/>
      <c r="F193" s="14" t="str">
        <f>IF(E193="","",IFERROR(INDEX(tblProductos[CATEGORIA],MATCH(E193,tblProductos[ITEM],0)),""))</f>
        <v/>
      </c>
      <c r="G193" s="15"/>
      <c r="H193" s="16"/>
      <c r="I193" s="16" t="str">
        <f>IF(E193="","",IFERROR(INDEX(tblProductos[PRECIO_VENTA],MATCH(E193,tblProductos[ITEM],0)),""))</f>
        <v/>
      </c>
      <c r="J193" s="16" t="str">
        <f t="shared" si="11"/>
        <v/>
      </c>
      <c r="K193" s="16" t="str">
        <f t="shared" si="12"/>
        <v/>
      </c>
      <c r="L193" s="16" t="str">
        <f>IF(E193="","",IFERROR(INDEX(tblProductos[COSTO TOTAL],MATCH(E193,tblProductos[ITEM],0)),""))</f>
        <v/>
      </c>
      <c r="M193" s="16" t="str">
        <f t="shared" si="13"/>
        <v/>
      </c>
      <c r="N193" s="16" t="str">
        <f t="shared" si="14"/>
        <v/>
      </c>
      <c r="O193" s="14" t="s">
        <v>34</v>
      </c>
      <c r="P193" s="14" t="s">
        <v>35</v>
      </c>
      <c r="Q193" s="14" t="s">
        <v>36</v>
      </c>
      <c r="R193" s="14"/>
      <c r="S193" t="str">
        <f>IF(E193="","",IFERROR(INDEX(tblProductos[STOCK_ACTUAL],MATCH(E193,tblProductos[ITEM],0)),""))</f>
        <v/>
      </c>
    </row>
    <row r="194" spans="1:19" x14ac:dyDescent="0.3">
      <c r="A194" s="40"/>
      <c r="B194" s="14" t="str">
        <f t="shared" ref="B194:B257" si="15">IF(A194="","", "V"&amp;TEXT(A194,"yymmdd")&amp;"-"&amp;TEXT(ROW()-1,"0000"))</f>
        <v/>
      </c>
      <c r="C194" s="14" t="str">
        <f>IF(D194="","",IFERROR(INDEX(tblClientes[ID],MATCH(D194,tblClientes[NOMBRE],0)),""))</f>
        <v/>
      </c>
      <c r="D194" s="14"/>
      <c r="E194" s="14"/>
      <c r="F194" s="14" t="str">
        <f>IF(E194="","",IFERROR(INDEX(tblProductos[CATEGORIA],MATCH(E194,tblProductos[ITEM],0)),""))</f>
        <v/>
      </c>
      <c r="G194" s="15"/>
      <c r="H194" s="16"/>
      <c r="I194" s="16" t="str">
        <f>IF(E194="","",IFERROR(INDEX(tblProductos[PRECIO_VENTA],MATCH(E194,tblProductos[ITEM],0)),""))</f>
        <v/>
      </c>
      <c r="J194" s="16" t="str">
        <f t="shared" ref="J194:J257" si="16">IF(H194="",I194,H194)</f>
        <v/>
      </c>
      <c r="K194" s="16" t="str">
        <f t="shared" ref="K194:K257" si="17">IF(G194="","",G194*J194)</f>
        <v/>
      </c>
      <c r="L194" s="16" t="str">
        <f>IF(E194="","",IFERROR(INDEX(tblProductos[COSTO TOTAL],MATCH(E194,tblProductos[ITEM],0)),""))</f>
        <v/>
      </c>
      <c r="M194" s="16" t="str">
        <f t="shared" ref="M194:M257" si="18">IF(G194="","",G194*L194)</f>
        <v/>
      </c>
      <c r="N194" s="16" t="str">
        <f t="shared" ref="N194:N257" si="19">IF(K194="","",K194-M194)</f>
        <v/>
      </c>
      <c r="O194" s="14" t="s">
        <v>34</v>
      </c>
      <c r="P194" s="14" t="s">
        <v>35</v>
      </c>
      <c r="Q194" s="14" t="s">
        <v>36</v>
      </c>
      <c r="R194" s="14"/>
      <c r="S194" t="str">
        <f>IF(E194="","",IFERROR(INDEX(tblProductos[STOCK_ACTUAL],MATCH(E194,tblProductos[ITEM],0)),""))</f>
        <v/>
      </c>
    </row>
    <row r="195" spans="1:19" x14ac:dyDescent="0.3">
      <c r="A195" s="40"/>
      <c r="B195" s="14" t="str">
        <f t="shared" si="15"/>
        <v/>
      </c>
      <c r="C195" s="14" t="str">
        <f>IF(D195="","",IFERROR(INDEX(tblClientes[ID],MATCH(D195,tblClientes[NOMBRE],0)),""))</f>
        <v/>
      </c>
      <c r="D195" s="14"/>
      <c r="E195" s="14"/>
      <c r="F195" s="14" t="str">
        <f>IF(E195="","",IFERROR(INDEX(tblProductos[CATEGORIA],MATCH(E195,tblProductos[ITEM],0)),""))</f>
        <v/>
      </c>
      <c r="G195" s="15"/>
      <c r="H195" s="16"/>
      <c r="I195" s="16" t="str">
        <f>IF(E195="","",IFERROR(INDEX(tblProductos[PRECIO_VENTA],MATCH(E195,tblProductos[ITEM],0)),""))</f>
        <v/>
      </c>
      <c r="J195" s="16" t="str">
        <f t="shared" si="16"/>
        <v/>
      </c>
      <c r="K195" s="16" t="str">
        <f t="shared" si="17"/>
        <v/>
      </c>
      <c r="L195" s="16" t="str">
        <f>IF(E195="","",IFERROR(INDEX(tblProductos[COSTO TOTAL],MATCH(E195,tblProductos[ITEM],0)),""))</f>
        <v/>
      </c>
      <c r="M195" s="16" t="str">
        <f t="shared" si="18"/>
        <v/>
      </c>
      <c r="N195" s="16" t="str">
        <f t="shared" si="19"/>
        <v/>
      </c>
      <c r="O195" s="14" t="s">
        <v>34</v>
      </c>
      <c r="P195" s="14" t="s">
        <v>35</v>
      </c>
      <c r="Q195" s="14" t="s">
        <v>36</v>
      </c>
      <c r="R195" s="14"/>
      <c r="S195" t="str">
        <f>IF(E195="","",IFERROR(INDEX(tblProductos[STOCK_ACTUAL],MATCH(E195,tblProductos[ITEM],0)),""))</f>
        <v/>
      </c>
    </row>
    <row r="196" spans="1:19" x14ac:dyDescent="0.3">
      <c r="A196" s="40"/>
      <c r="B196" s="14" t="str">
        <f t="shared" si="15"/>
        <v/>
      </c>
      <c r="C196" s="14" t="str">
        <f>IF(D196="","",IFERROR(INDEX(tblClientes[ID],MATCH(D196,tblClientes[NOMBRE],0)),""))</f>
        <v/>
      </c>
      <c r="D196" s="14"/>
      <c r="E196" s="14"/>
      <c r="F196" s="14" t="str">
        <f>IF(E196="","",IFERROR(INDEX(tblProductos[CATEGORIA],MATCH(E196,tblProductos[ITEM],0)),""))</f>
        <v/>
      </c>
      <c r="G196" s="15"/>
      <c r="H196" s="16"/>
      <c r="I196" s="16" t="str">
        <f>IF(E196="","",IFERROR(INDEX(tblProductos[PRECIO_VENTA],MATCH(E196,tblProductos[ITEM],0)),""))</f>
        <v/>
      </c>
      <c r="J196" s="16" t="str">
        <f t="shared" si="16"/>
        <v/>
      </c>
      <c r="K196" s="16" t="str">
        <f t="shared" si="17"/>
        <v/>
      </c>
      <c r="L196" s="16" t="str">
        <f>IF(E196="","",IFERROR(INDEX(tblProductos[COSTO TOTAL],MATCH(E196,tblProductos[ITEM],0)),""))</f>
        <v/>
      </c>
      <c r="M196" s="16" t="str">
        <f t="shared" si="18"/>
        <v/>
      </c>
      <c r="N196" s="16" t="str">
        <f t="shared" si="19"/>
        <v/>
      </c>
      <c r="O196" s="14" t="s">
        <v>34</v>
      </c>
      <c r="P196" s="14" t="s">
        <v>35</v>
      </c>
      <c r="Q196" s="14" t="s">
        <v>36</v>
      </c>
      <c r="R196" s="14"/>
      <c r="S196" t="str">
        <f>IF(E196="","",IFERROR(INDEX(tblProductos[STOCK_ACTUAL],MATCH(E196,tblProductos[ITEM],0)),""))</f>
        <v/>
      </c>
    </row>
    <row r="197" spans="1:19" x14ac:dyDescent="0.3">
      <c r="A197" s="40"/>
      <c r="B197" s="14" t="str">
        <f t="shared" si="15"/>
        <v/>
      </c>
      <c r="C197" s="14" t="str">
        <f>IF(D197="","",IFERROR(INDEX(tblClientes[ID],MATCH(D197,tblClientes[NOMBRE],0)),""))</f>
        <v/>
      </c>
      <c r="D197" s="14"/>
      <c r="E197" s="14"/>
      <c r="F197" s="14" t="str">
        <f>IF(E197="","",IFERROR(INDEX(tblProductos[CATEGORIA],MATCH(E197,tblProductos[ITEM],0)),""))</f>
        <v/>
      </c>
      <c r="G197" s="15"/>
      <c r="H197" s="16"/>
      <c r="I197" s="16" t="str">
        <f>IF(E197="","",IFERROR(INDEX(tblProductos[PRECIO_VENTA],MATCH(E197,tblProductos[ITEM],0)),""))</f>
        <v/>
      </c>
      <c r="J197" s="16" t="str">
        <f t="shared" si="16"/>
        <v/>
      </c>
      <c r="K197" s="16" t="str">
        <f t="shared" si="17"/>
        <v/>
      </c>
      <c r="L197" s="16" t="str">
        <f>IF(E197="","",IFERROR(INDEX(tblProductos[COSTO TOTAL],MATCH(E197,tblProductos[ITEM],0)),""))</f>
        <v/>
      </c>
      <c r="M197" s="16" t="str">
        <f t="shared" si="18"/>
        <v/>
      </c>
      <c r="N197" s="16" t="str">
        <f t="shared" si="19"/>
        <v/>
      </c>
      <c r="O197" s="14" t="s">
        <v>34</v>
      </c>
      <c r="P197" s="14" t="s">
        <v>35</v>
      </c>
      <c r="Q197" s="14" t="s">
        <v>36</v>
      </c>
      <c r="R197" s="14"/>
      <c r="S197" t="str">
        <f>IF(E197="","",IFERROR(INDEX(tblProductos[STOCK_ACTUAL],MATCH(E197,tblProductos[ITEM],0)),""))</f>
        <v/>
      </c>
    </row>
    <row r="198" spans="1:19" x14ac:dyDescent="0.3">
      <c r="A198" s="40"/>
      <c r="B198" s="14" t="str">
        <f t="shared" si="15"/>
        <v/>
      </c>
      <c r="C198" s="14" t="str">
        <f>IF(D198="","",IFERROR(INDEX(tblClientes[ID],MATCH(D198,tblClientes[NOMBRE],0)),""))</f>
        <v/>
      </c>
      <c r="D198" s="14"/>
      <c r="E198" s="14"/>
      <c r="F198" s="14" t="str">
        <f>IF(E198="","",IFERROR(INDEX(tblProductos[CATEGORIA],MATCH(E198,tblProductos[ITEM],0)),""))</f>
        <v/>
      </c>
      <c r="G198" s="15"/>
      <c r="H198" s="16"/>
      <c r="I198" s="16" t="str">
        <f>IF(E198="","",IFERROR(INDEX(tblProductos[PRECIO_VENTA],MATCH(E198,tblProductos[ITEM],0)),""))</f>
        <v/>
      </c>
      <c r="J198" s="16" t="str">
        <f t="shared" si="16"/>
        <v/>
      </c>
      <c r="K198" s="16" t="str">
        <f t="shared" si="17"/>
        <v/>
      </c>
      <c r="L198" s="16" t="str">
        <f>IF(E198="","",IFERROR(INDEX(tblProductos[COSTO TOTAL],MATCH(E198,tblProductos[ITEM],0)),""))</f>
        <v/>
      </c>
      <c r="M198" s="16" t="str">
        <f t="shared" si="18"/>
        <v/>
      </c>
      <c r="N198" s="16" t="str">
        <f t="shared" si="19"/>
        <v/>
      </c>
      <c r="O198" s="14" t="s">
        <v>34</v>
      </c>
      <c r="P198" s="14" t="s">
        <v>35</v>
      </c>
      <c r="Q198" s="14" t="s">
        <v>36</v>
      </c>
      <c r="R198" s="14"/>
      <c r="S198" t="str">
        <f>IF(E198="","",IFERROR(INDEX(tblProductos[STOCK_ACTUAL],MATCH(E198,tblProductos[ITEM],0)),""))</f>
        <v/>
      </c>
    </row>
    <row r="199" spans="1:19" x14ac:dyDescent="0.3">
      <c r="A199" s="40"/>
      <c r="B199" s="14" t="str">
        <f t="shared" si="15"/>
        <v/>
      </c>
      <c r="C199" s="14" t="str">
        <f>IF(D199="","",IFERROR(INDEX(tblClientes[ID],MATCH(D199,tblClientes[NOMBRE],0)),""))</f>
        <v/>
      </c>
      <c r="D199" s="14"/>
      <c r="E199" s="14"/>
      <c r="F199" s="14" t="str">
        <f>IF(E199="","",IFERROR(INDEX(tblProductos[CATEGORIA],MATCH(E199,tblProductos[ITEM],0)),""))</f>
        <v/>
      </c>
      <c r="G199" s="15"/>
      <c r="H199" s="16"/>
      <c r="I199" s="16" t="str">
        <f>IF(E199="","",IFERROR(INDEX(tblProductos[PRECIO_VENTA],MATCH(E199,tblProductos[ITEM],0)),""))</f>
        <v/>
      </c>
      <c r="J199" s="16" t="str">
        <f t="shared" si="16"/>
        <v/>
      </c>
      <c r="K199" s="16" t="str">
        <f t="shared" si="17"/>
        <v/>
      </c>
      <c r="L199" s="16" t="str">
        <f>IF(E199="","",IFERROR(INDEX(tblProductos[COSTO TOTAL],MATCH(E199,tblProductos[ITEM],0)),""))</f>
        <v/>
      </c>
      <c r="M199" s="16" t="str">
        <f t="shared" si="18"/>
        <v/>
      </c>
      <c r="N199" s="16" t="str">
        <f t="shared" si="19"/>
        <v/>
      </c>
      <c r="O199" s="14" t="s">
        <v>34</v>
      </c>
      <c r="P199" s="14" t="s">
        <v>35</v>
      </c>
      <c r="Q199" s="14" t="s">
        <v>36</v>
      </c>
      <c r="R199" s="14"/>
      <c r="S199" t="str">
        <f>IF(E199="","",IFERROR(INDEX(tblProductos[STOCK_ACTUAL],MATCH(E199,tblProductos[ITEM],0)),""))</f>
        <v/>
      </c>
    </row>
    <row r="200" spans="1:19" x14ac:dyDescent="0.3">
      <c r="A200" s="40"/>
      <c r="B200" s="14" t="str">
        <f t="shared" si="15"/>
        <v/>
      </c>
      <c r="C200" s="14" t="str">
        <f>IF(D200="","",IFERROR(INDEX(tblClientes[ID],MATCH(D200,tblClientes[NOMBRE],0)),""))</f>
        <v/>
      </c>
      <c r="D200" s="14"/>
      <c r="E200" s="14"/>
      <c r="F200" s="14" t="str">
        <f>IF(E200="","",IFERROR(INDEX(tblProductos[CATEGORIA],MATCH(E200,tblProductos[ITEM],0)),""))</f>
        <v/>
      </c>
      <c r="G200" s="15"/>
      <c r="H200" s="16"/>
      <c r="I200" s="16" t="str">
        <f>IF(E200="","",IFERROR(INDEX(tblProductos[PRECIO_VENTA],MATCH(E200,tblProductos[ITEM],0)),""))</f>
        <v/>
      </c>
      <c r="J200" s="16" t="str">
        <f t="shared" si="16"/>
        <v/>
      </c>
      <c r="K200" s="16" t="str">
        <f t="shared" si="17"/>
        <v/>
      </c>
      <c r="L200" s="16" t="str">
        <f>IF(E200="","",IFERROR(INDEX(tblProductos[COSTO TOTAL],MATCH(E200,tblProductos[ITEM],0)),""))</f>
        <v/>
      </c>
      <c r="M200" s="16" t="str">
        <f t="shared" si="18"/>
        <v/>
      </c>
      <c r="N200" s="16" t="str">
        <f t="shared" si="19"/>
        <v/>
      </c>
      <c r="O200" s="14" t="s">
        <v>34</v>
      </c>
      <c r="P200" s="14" t="s">
        <v>35</v>
      </c>
      <c r="Q200" s="14" t="s">
        <v>36</v>
      </c>
      <c r="R200" s="14"/>
      <c r="S200" t="str">
        <f>IF(E200="","",IFERROR(INDEX(tblProductos[STOCK_ACTUAL],MATCH(E200,tblProductos[ITEM],0)),""))</f>
        <v/>
      </c>
    </row>
    <row r="201" spans="1:19" x14ac:dyDescent="0.3">
      <c r="A201" s="40"/>
      <c r="B201" s="14" t="str">
        <f t="shared" si="15"/>
        <v/>
      </c>
      <c r="C201" s="14" t="str">
        <f>IF(D201="","",IFERROR(INDEX(tblClientes[ID],MATCH(D201,tblClientes[NOMBRE],0)),""))</f>
        <v/>
      </c>
      <c r="D201" s="14"/>
      <c r="E201" s="14"/>
      <c r="F201" s="14" t="str">
        <f>IF(E201="","",IFERROR(INDEX(tblProductos[CATEGORIA],MATCH(E201,tblProductos[ITEM],0)),""))</f>
        <v/>
      </c>
      <c r="G201" s="15"/>
      <c r="H201" s="16"/>
      <c r="I201" s="16" t="str">
        <f>IF(E201="","",IFERROR(INDEX(tblProductos[PRECIO_VENTA],MATCH(E201,tblProductos[ITEM],0)),""))</f>
        <v/>
      </c>
      <c r="J201" s="16" t="str">
        <f t="shared" si="16"/>
        <v/>
      </c>
      <c r="K201" s="16" t="str">
        <f t="shared" si="17"/>
        <v/>
      </c>
      <c r="L201" s="16" t="str">
        <f>IF(E201="","",IFERROR(INDEX(tblProductos[COSTO TOTAL],MATCH(E201,tblProductos[ITEM],0)),""))</f>
        <v/>
      </c>
      <c r="M201" s="16" t="str">
        <f t="shared" si="18"/>
        <v/>
      </c>
      <c r="N201" s="16" t="str">
        <f t="shared" si="19"/>
        <v/>
      </c>
      <c r="O201" s="14" t="s">
        <v>34</v>
      </c>
      <c r="P201" s="14" t="s">
        <v>35</v>
      </c>
      <c r="Q201" s="14" t="s">
        <v>36</v>
      </c>
      <c r="R201" s="14"/>
      <c r="S201" t="str">
        <f>IF(E201="","",IFERROR(INDEX(tblProductos[STOCK_ACTUAL],MATCH(E201,tblProductos[ITEM],0)),""))</f>
        <v/>
      </c>
    </row>
    <row r="202" spans="1:19" x14ac:dyDescent="0.3">
      <c r="A202" s="40"/>
      <c r="B202" s="14" t="str">
        <f t="shared" si="15"/>
        <v/>
      </c>
      <c r="C202" s="14" t="str">
        <f>IF(D202="","",IFERROR(INDEX(tblClientes[ID],MATCH(D202,tblClientes[NOMBRE],0)),""))</f>
        <v/>
      </c>
      <c r="D202" s="14"/>
      <c r="E202" s="14"/>
      <c r="F202" s="14" t="str">
        <f>IF(E202="","",IFERROR(INDEX(tblProductos[CATEGORIA],MATCH(E202,tblProductos[ITEM],0)),""))</f>
        <v/>
      </c>
      <c r="G202" s="15"/>
      <c r="H202" s="16"/>
      <c r="I202" s="16" t="str">
        <f>IF(E202="","",IFERROR(INDEX(tblProductos[PRECIO_VENTA],MATCH(E202,tblProductos[ITEM],0)),""))</f>
        <v/>
      </c>
      <c r="J202" s="16" t="str">
        <f t="shared" si="16"/>
        <v/>
      </c>
      <c r="K202" s="16" t="str">
        <f t="shared" si="17"/>
        <v/>
      </c>
      <c r="L202" s="16" t="str">
        <f>IF(E202="","",IFERROR(INDEX(tblProductos[COSTO TOTAL],MATCH(E202,tblProductos[ITEM],0)),""))</f>
        <v/>
      </c>
      <c r="M202" s="16" t="str">
        <f t="shared" si="18"/>
        <v/>
      </c>
      <c r="N202" s="16" t="str">
        <f t="shared" si="19"/>
        <v/>
      </c>
      <c r="O202" s="14" t="s">
        <v>34</v>
      </c>
      <c r="P202" s="14" t="s">
        <v>35</v>
      </c>
      <c r="Q202" s="14" t="s">
        <v>36</v>
      </c>
      <c r="R202" s="14"/>
      <c r="S202" t="str">
        <f>IF(E202="","",IFERROR(INDEX(tblProductos[STOCK_ACTUAL],MATCH(E202,tblProductos[ITEM],0)),""))</f>
        <v/>
      </c>
    </row>
    <row r="203" spans="1:19" x14ac:dyDescent="0.3">
      <c r="A203" s="40"/>
      <c r="B203" s="14" t="str">
        <f t="shared" si="15"/>
        <v/>
      </c>
      <c r="C203" s="14" t="str">
        <f>IF(D203="","",IFERROR(INDEX(tblClientes[ID],MATCH(D203,tblClientes[NOMBRE],0)),""))</f>
        <v/>
      </c>
      <c r="D203" s="14"/>
      <c r="E203" s="14"/>
      <c r="F203" s="14" t="str">
        <f>IF(E203="","",IFERROR(INDEX(tblProductos[CATEGORIA],MATCH(E203,tblProductos[ITEM],0)),""))</f>
        <v/>
      </c>
      <c r="G203" s="15"/>
      <c r="H203" s="16"/>
      <c r="I203" s="16" t="str">
        <f>IF(E203="","",IFERROR(INDEX(tblProductos[PRECIO_VENTA],MATCH(E203,tblProductos[ITEM],0)),""))</f>
        <v/>
      </c>
      <c r="J203" s="16" t="str">
        <f t="shared" si="16"/>
        <v/>
      </c>
      <c r="K203" s="16" t="str">
        <f t="shared" si="17"/>
        <v/>
      </c>
      <c r="L203" s="16" t="str">
        <f>IF(E203="","",IFERROR(INDEX(tblProductos[COSTO TOTAL],MATCH(E203,tblProductos[ITEM],0)),""))</f>
        <v/>
      </c>
      <c r="M203" s="16" t="str">
        <f t="shared" si="18"/>
        <v/>
      </c>
      <c r="N203" s="16" t="str">
        <f t="shared" si="19"/>
        <v/>
      </c>
      <c r="O203" s="14" t="s">
        <v>34</v>
      </c>
      <c r="P203" s="14" t="s">
        <v>35</v>
      </c>
      <c r="Q203" s="14" t="s">
        <v>36</v>
      </c>
      <c r="R203" s="14"/>
      <c r="S203" t="str">
        <f>IF(E203="","",IFERROR(INDEX(tblProductos[STOCK_ACTUAL],MATCH(E203,tblProductos[ITEM],0)),""))</f>
        <v/>
      </c>
    </row>
    <row r="204" spans="1:19" x14ac:dyDescent="0.3">
      <c r="A204" s="40"/>
      <c r="B204" s="14" t="str">
        <f t="shared" si="15"/>
        <v/>
      </c>
      <c r="C204" s="14" t="str">
        <f>IF(D204="","",IFERROR(INDEX(tblClientes[ID],MATCH(D204,tblClientes[NOMBRE],0)),""))</f>
        <v/>
      </c>
      <c r="D204" s="14"/>
      <c r="E204" s="14"/>
      <c r="F204" s="14" t="str">
        <f>IF(E204="","",IFERROR(INDEX(tblProductos[CATEGORIA],MATCH(E204,tblProductos[ITEM],0)),""))</f>
        <v/>
      </c>
      <c r="G204" s="15"/>
      <c r="H204" s="16"/>
      <c r="I204" s="16" t="str">
        <f>IF(E204="","",IFERROR(INDEX(tblProductos[PRECIO_VENTA],MATCH(E204,tblProductos[ITEM],0)),""))</f>
        <v/>
      </c>
      <c r="J204" s="16" t="str">
        <f t="shared" si="16"/>
        <v/>
      </c>
      <c r="K204" s="16" t="str">
        <f t="shared" si="17"/>
        <v/>
      </c>
      <c r="L204" s="16" t="str">
        <f>IF(E204="","",IFERROR(INDEX(tblProductos[COSTO TOTAL],MATCH(E204,tblProductos[ITEM],0)),""))</f>
        <v/>
      </c>
      <c r="M204" s="16" t="str">
        <f t="shared" si="18"/>
        <v/>
      </c>
      <c r="N204" s="16" t="str">
        <f t="shared" si="19"/>
        <v/>
      </c>
      <c r="O204" s="14" t="s">
        <v>34</v>
      </c>
      <c r="P204" s="14" t="s">
        <v>35</v>
      </c>
      <c r="Q204" s="14" t="s">
        <v>36</v>
      </c>
      <c r="R204" s="14"/>
      <c r="S204" t="str">
        <f>IF(E204="","",IFERROR(INDEX(tblProductos[STOCK_ACTUAL],MATCH(E204,tblProductos[ITEM],0)),""))</f>
        <v/>
      </c>
    </row>
    <row r="205" spans="1:19" x14ac:dyDescent="0.3">
      <c r="A205" s="40"/>
      <c r="B205" s="14" t="str">
        <f t="shared" si="15"/>
        <v/>
      </c>
      <c r="C205" s="14" t="str">
        <f>IF(D205="","",IFERROR(INDEX(tblClientes[ID],MATCH(D205,tblClientes[NOMBRE],0)),""))</f>
        <v/>
      </c>
      <c r="D205" s="14"/>
      <c r="E205" s="14"/>
      <c r="F205" s="14" t="str">
        <f>IF(E205="","",IFERROR(INDEX(tblProductos[CATEGORIA],MATCH(E205,tblProductos[ITEM],0)),""))</f>
        <v/>
      </c>
      <c r="G205" s="15"/>
      <c r="H205" s="16"/>
      <c r="I205" s="16" t="str">
        <f>IF(E205="","",IFERROR(INDEX(tblProductos[PRECIO_VENTA],MATCH(E205,tblProductos[ITEM],0)),""))</f>
        <v/>
      </c>
      <c r="J205" s="16" t="str">
        <f t="shared" si="16"/>
        <v/>
      </c>
      <c r="K205" s="16" t="str">
        <f t="shared" si="17"/>
        <v/>
      </c>
      <c r="L205" s="16" t="str">
        <f>IF(E205="","",IFERROR(INDEX(tblProductos[COSTO TOTAL],MATCH(E205,tblProductos[ITEM],0)),""))</f>
        <v/>
      </c>
      <c r="M205" s="16" t="str">
        <f t="shared" si="18"/>
        <v/>
      </c>
      <c r="N205" s="16" t="str">
        <f t="shared" si="19"/>
        <v/>
      </c>
      <c r="O205" s="14" t="s">
        <v>34</v>
      </c>
      <c r="P205" s="14" t="s">
        <v>35</v>
      </c>
      <c r="Q205" s="14" t="s">
        <v>36</v>
      </c>
      <c r="R205" s="14"/>
      <c r="S205" t="str">
        <f>IF(E205="","",IFERROR(INDEX(tblProductos[STOCK_ACTUAL],MATCH(E205,tblProductos[ITEM],0)),""))</f>
        <v/>
      </c>
    </row>
    <row r="206" spans="1:19" x14ac:dyDescent="0.3">
      <c r="A206" s="40"/>
      <c r="B206" s="14" t="str">
        <f t="shared" si="15"/>
        <v/>
      </c>
      <c r="C206" s="14" t="str">
        <f>IF(D206="","",IFERROR(INDEX(tblClientes[ID],MATCH(D206,tblClientes[NOMBRE],0)),""))</f>
        <v/>
      </c>
      <c r="D206" s="14"/>
      <c r="E206" s="14"/>
      <c r="F206" s="14" t="str">
        <f>IF(E206="","",IFERROR(INDEX(tblProductos[CATEGORIA],MATCH(E206,tblProductos[ITEM],0)),""))</f>
        <v/>
      </c>
      <c r="G206" s="15"/>
      <c r="H206" s="16"/>
      <c r="I206" s="16" t="str">
        <f>IF(E206="","",IFERROR(INDEX(tblProductos[PRECIO_VENTA],MATCH(E206,tblProductos[ITEM],0)),""))</f>
        <v/>
      </c>
      <c r="J206" s="16" t="str">
        <f t="shared" si="16"/>
        <v/>
      </c>
      <c r="K206" s="16" t="str">
        <f t="shared" si="17"/>
        <v/>
      </c>
      <c r="L206" s="16" t="str">
        <f>IF(E206="","",IFERROR(INDEX(tblProductos[COSTO TOTAL],MATCH(E206,tblProductos[ITEM],0)),""))</f>
        <v/>
      </c>
      <c r="M206" s="16" t="str">
        <f t="shared" si="18"/>
        <v/>
      </c>
      <c r="N206" s="16" t="str">
        <f t="shared" si="19"/>
        <v/>
      </c>
      <c r="O206" s="14" t="s">
        <v>34</v>
      </c>
      <c r="P206" s="14" t="s">
        <v>35</v>
      </c>
      <c r="Q206" s="14" t="s">
        <v>36</v>
      </c>
      <c r="R206" s="14"/>
      <c r="S206" t="str">
        <f>IF(E206="","",IFERROR(INDEX(tblProductos[STOCK_ACTUAL],MATCH(E206,tblProductos[ITEM],0)),""))</f>
        <v/>
      </c>
    </row>
    <row r="207" spans="1:19" x14ac:dyDescent="0.3">
      <c r="A207" s="40"/>
      <c r="B207" s="14" t="str">
        <f t="shared" si="15"/>
        <v/>
      </c>
      <c r="C207" s="14" t="str">
        <f>IF(D207="","",IFERROR(INDEX(tblClientes[ID],MATCH(D207,tblClientes[NOMBRE],0)),""))</f>
        <v/>
      </c>
      <c r="D207" s="14"/>
      <c r="E207" s="14"/>
      <c r="F207" s="14" t="str">
        <f>IF(E207="","",IFERROR(INDEX(tblProductos[CATEGORIA],MATCH(E207,tblProductos[ITEM],0)),""))</f>
        <v/>
      </c>
      <c r="G207" s="15"/>
      <c r="H207" s="16"/>
      <c r="I207" s="16" t="str">
        <f>IF(E207="","",IFERROR(INDEX(tblProductos[PRECIO_VENTA],MATCH(E207,tblProductos[ITEM],0)),""))</f>
        <v/>
      </c>
      <c r="J207" s="16" t="str">
        <f t="shared" si="16"/>
        <v/>
      </c>
      <c r="K207" s="16" t="str">
        <f t="shared" si="17"/>
        <v/>
      </c>
      <c r="L207" s="16" t="str">
        <f>IF(E207="","",IFERROR(INDEX(tblProductos[COSTO TOTAL],MATCH(E207,tblProductos[ITEM],0)),""))</f>
        <v/>
      </c>
      <c r="M207" s="16" t="str">
        <f t="shared" si="18"/>
        <v/>
      </c>
      <c r="N207" s="16" t="str">
        <f t="shared" si="19"/>
        <v/>
      </c>
      <c r="O207" s="14" t="s">
        <v>34</v>
      </c>
      <c r="P207" s="14" t="s">
        <v>35</v>
      </c>
      <c r="Q207" s="14" t="s">
        <v>36</v>
      </c>
      <c r="R207" s="14"/>
      <c r="S207" t="str">
        <f>IF(E207="","",IFERROR(INDEX(tblProductos[STOCK_ACTUAL],MATCH(E207,tblProductos[ITEM],0)),""))</f>
        <v/>
      </c>
    </row>
    <row r="208" spans="1:19" x14ac:dyDescent="0.3">
      <c r="A208" s="40"/>
      <c r="B208" s="14" t="str">
        <f t="shared" si="15"/>
        <v/>
      </c>
      <c r="C208" s="14" t="str">
        <f>IF(D208="","",IFERROR(INDEX(tblClientes[ID],MATCH(D208,tblClientes[NOMBRE],0)),""))</f>
        <v/>
      </c>
      <c r="D208" s="14"/>
      <c r="E208" s="14"/>
      <c r="F208" s="14" t="str">
        <f>IF(E208="","",IFERROR(INDEX(tblProductos[CATEGORIA],MATCH(E208,tblProductos[ITEM],0)),""))</f>
        <v/>
      </c>
      <c r="G208" s="15"/>
      <c r="H208" s="16"/>
      <c r="I208" s="16" t="str">
        <f>IF(E208="","",IFERROR(INDEX(tblProductos[PRECIO_VENTA],MATCH(E208,tblProductos[ITEM],0)),""))</f>
        <v/>
      </c>
      <c r="J208" s="16" t="str">
        <f t="shared" si="16"/>
        <v/>
      </c>
      <c r="K208" s="16" t="str">
        <f t="shared" si="17"/>
        <v/>
      </c>
      <c r="L208" s="16" t="str">
        <f>IF(E208="","",IFERROR(INDEX(tblProductos[COSTO TOTAL],MATCH(E208,tblProductos[ITEM],0)),""))</f>
        <v/>
      </c>
      <c r="M208" s="16" t="str">
        <f t="shared" si="18"/>
        <v/>
      </c>
      <c r="N208" s="16" t="str">
        <f t="shared" si="19"/>
        <v/>
      </c>
      <c r="O208" s="14" t="s">
        <v>34</v>
      </c>
      <c r="P208" s="14" t="s">
        <v>35</v>
      </c>
      <c r="Q208" s="14" t="s">
        <v>36</v>
      </c>
      <c r="R208" s="14"/>
      <c r="S208" t="str">
        <f>IF(E208="","",IFERROR(INDEX(tblProductos[STOCK_ACTUAL],MATCH(E208,tblProductos[ITEM],0)),""))</f>
        <v/>
      </c>
    </row>
    <row r="209" spans="1:19" x14ac:dyDescent="0.3">
      <c r="A209" s="40"/>
      <c r="B209" s="14" t="str">
        <f t="shared" si="15"/>
        <v/>
      </c>
      <c r="C209" s="14" t="str">
        <f>IF(D209="","",IFERROR(INDEX(tblClientes[ID],MATCH(D209,tblClientes[NOMBRE],0)),""))</f>
        <v/>
      </c>
      <c r="D209" s="14"/>
      <c r="E209" s="14"/>
      <c r="F209" s="14" t="str">
        <f>IF(E209="","",IFERROR(INDEX(tblProductos[CATEGORIA],MATCH(E209,tblProductos[ITEM],0)),""))</f>
        <v/>
      </c>
      <c r="G209" s="15"/>
      <c r="H209" s="16"/>
      <c r="I209" s="16" t="str">
        <f>IF(E209="","",IFERROR(INDEX(tblProductos[PRECIO_VENTA],MATCH(E209,tblProductos[ITEM],0)),""))</f>
        <v/>
      </c>
      <c r="J209" s="16" t="str">
        <f t="shared" si="16"/>
        <v/>
      </c>
      <c r="K209" s="16" t="str">
        <f t="shared" si="17"/>
        <v/>
      </c>
      <c r="L209" s="16" t="str">
        <f>IF(E209="","",IFERROR(INDEX(tblProductos[COSTO TOTAL],MATCH(E209,tblProductos[ITEM],0)),""))</f>
        <v/>
      </c>
      <c r="M209" s="16" t="str">
        <f t="shared" si="18"/>
        <v/>
      </c>
      <c r="N209" s="16" t="str">
        <f t="shared" si="19"/>
        <v/>
      </c>
      <c r="O209" s="14" t="s">
        <v>34</v>
      </c>
      <c r="P209" s="14" t="s">
        <v>35</v>
      </c>
      <c r="Q209" s="14" t="s">
        <v>36</v>
      </c>
      <c r="R209" s="14"/>
      <c r="S209" t="str">
        <f>IF(E209="","",IFERROR(INDEX(tblProductos[STOCK_ACTUAL],MATCH(E209,tblProductos[ITEM],0)),""))</f>
        <v/>
      </c>
    </row>
    <row r="210" spans="1:19" x14ac:dyDescent="0.3">
      <c r="A210" s="40"/>
      <c r="B210" s="14" t="str">
        <f t="shared" si="15"/>
        <v/>
      </c>
      <c r="C210" s="14" t="str">
        <f>IF(D210="","",IFERROR(INDEX(tblClientes[ID],MATCH(D210,tblClientes[NOMBRE],0)),""))</f>
        <v/>
      </c>
      <c r="D210" s="14"/>
      <c r="E210" s="14"/>
      <c r="F210" s="14" t="str">
        <f>IF(E210="","",IFERROR(INDEX(tblProductos[CATEGORIA],MATCH(E210,tblProductos[ITEM],0)),""))</f>
        <v/>
      </c>
      <c r="G210" s="15"/>
      <c r="H210" s="16"/>
      <c r="I210" s="16" t="str">
        <f>IF(E210="","",IFERROR(INDEX(tblProductos[PRECIO_VENTA],MATCH(E210,tblProductos[ITEM],0)),""))</f>
        <v/>
      </c>
      <c r="J210" s="16" t="str">
        <f t="shared" si="16"/>
        <v/>
      </c>
      <c r="K210" s="16" t="str">
        <f t="shared" si="17"/>
        <v/>
      </c>
      <c r="L210" s="16" t="str">
        <f>IF(E210="","",IFERROR(INDEX(tblProductos[COSTO TOTAL],MATCH(E210,tblProductos[ITEM],0)),""))</f>
        <v/>
      </c>
      <c r="M210" s="16" t="str">
        <f t="shared" si="18"/>
        <v/>
      </c>
      <c r="N210" s="16" t="str">
        <f t="shared" si="19"/>
        <v/>
      </c>
      <c r="O210" s="14" t="s">
        <v>34</v>
      </c>
      <c r="P210" s="14" t="s">
        <v>35</v>
      </c>
      <c r="Q210" s="14" t="s">
        <v>36</v>
      </c>
      <c r="R210" s="14"/>
      <c r="S210" t="str">
        <f>IF(E210="","",IFERROR(INDEX(tblProductos[STOCK_ACTUAL],MATCH(E210,tblProductos[ITEM],0)),""))</f>
        <v/>
      </c>
    </row>
    <row r="211" spans="1:19" x14ac:dyDescent="0.3">
      <c r="A211" s="40"/>
      <c r="B211" s="14" t="str">
        <f t="shared" si="15"/>
        <v/>
      </c>
      <c r="C211" s="14" t="str">
        <f>IF(D211="","",IFERROR(INDEX(tblClientes[ID],MATCH(D211,tblClientes[NOMBRE],0)),""))</f>
        <v/>
      </c>
      <c r="D211" s="14"/>
      <c r="E211" s="14"/>
      <c r="F211" s="14" t="str">
        <f>IF(E211="","",IFERROR(INDEX(tblProductos[CATEGORIA],MATCH(E211,tblProductos[ITEM],0)),""))</f>
        <v/>
      </c>
      <c r="G211" s="15"/>
      <c r="H211" s="16"/>
      <c r="I211" s="16" t="str">
        <f>IF(E211="","",IFERROR(INDEX(tblProductos[PRECIO_VENTA],MATCH(E211,tblProductos[ITEM],0)),""))</f>
        <v/>
      </c>
      <c r="J211" s="16" t="str">
        <f t="shared" si="16"/>
        <v/>
      </c>
      <c r="K211" s="16" t="str">
        <f t="shared" si="17"/>
        <v/>
      </c>
      <c r="L211" s="16" t="str">
        <f>IF(E211="","",IFERROR(INDEX(tblProductos[COSTO TOTAL],MATCH(E211,tblProductos[ITEM],0)),""))</f>
        <v/>
      </c>
      <c r="M211" s="16" t="str">
        <f t="shared" si="18"/>
        <v/>
      </c>
      <c r="N211" s="16" t="str">
        <f t="shared" si="19"/>
        <v/>
      </c>
      <c r="O211" s="14" t="s">
        <v>34</v>
      </c>
      <c r="P211" s="14" t="s">
        <v>35</v>
      </c>
      <c r="Q211" s="14" t="s">
        <v>36</v>
      </c>
      <c r="R211" s="14"/>
      <c r="S211" t="str">
        <f>IF(E211="","",IFERROR(INDEX(tblProductos[STOCK_ACTUAL],MATCH(E211,tblProductos[ITEM],0)),""))</f>
        <v/>
      </c>
    </row>
    <row r="212" spans="1:19" x14ac:dyDescent="0.3">
      <c r="A212" s="40"/>
      <c r="B212" s="14" t="str">
        <f t="shared" si="15"/>
        <v/>
      </c>
      <c r="C212" s="14" t="str">
        <f>IF(D212="","",IFERROR(INDEX(tblClientes[ID],MATCH(D212,tblClientes[NOMBRE],0)),""))</f>
        <v/>
      </c>
      <c r="D212" s="14"/>
      <c r="E212" s="14"/>
      <c r="F212" s="14" t="str">
        <f>IF(E212="","",IFERROR(INDEX(tblProductos[CATEGORIA],MATCH(E212,tblProductos[ITEM],0)),""))</f>
        <v/>
      </c>
      <c r="G212" s="15"/>
      <c r="H212" s="16"/>
      <c r="I212" s="16" t="str">
        <f>IF(E212="","",IFERROR(INDEX(tblProductos[PRECIO_VENTA],MATCH(E212,tblProductos[ITEM],0)),""))</f>
        <v/>
      </c>
      <c r="J212" s="16" t="str">
        <f t="shared" si="16"/>
        <v/>
      </c>
      <c r="K212" s="16" t="str">
        <f t="shared" si="17"/>
        <v/>
      </c>
      <c r="L212" s="16" t="str">
        <f>IF(E212="","",IFERROR(INDEX(tblProductos[COSTO TOTAL],MATCH(E212,tblProductos[ITEM],0)),""))</f>
        <v/>
      </c>
      <c r="M212" s="16" t="str">
        <f t="shared" si="18"/>
        <v/>
      </c>
      <c r="N212" s="16" t="str">
        <f t="shared" si="19"/>
        <v/>
      </c>
      <c r="O212" s="14" t="s">
        <v>34</v>
      </c>
      <c r="P212" s="14" t="s">
        <v>35</v>
      </c>
      <c r="Q212" s="14" t="s">
        <v>36</v>
      </c>
      <c r="R212" s="14"/>
      <c r="S212" t="str">
        <f>IF(E212="","",IFERROR(INDEX(tblProductos[STOCK_ACTUAL],MATCH(E212,tblProductos[ITEM],0)),""))</f>
        <v/>
      </c>
    </row>
    <row r="213" spans="1:19" x14ac:dyDescent="0.3">
      <c r="A213" s="40"/>
      <c r="B213" s="14" t="str">
        <f t="shared" si="15"/>
        <v/>
      </c>
      <c r="C213" s="14" t="str">
        <f>IF(D213="","",IFERROR(INDEX(tblClientes[ID],MATCH(D213,tblClientes[NOMBRE],0)),""))</f>
        <v/>
      </c>
      <c r="D213" s="14"/>
      <c r="E213" s="14"/>
      <c r="F213" s="14" t="str">
        <f>IF(E213="","",IFERROR(INDEX(tblProductos[CATEGORIA],MATCH(E213,tblProductos[ITEM],0)),""))</f>
        <v/>
      </c>
      <c r="G213" s="15"/>
      <c r="H213" s="16"/>
      <c r="I213" s="16" t="str">
        <f>IF(E213="","",IFERROR(INDEX(tblProductos[PRECIO_VENTA],MATCH(E213,tblProductos[ITEM],0)),""))</f>
        <v/>
      </c>
      <c r="J213" s="16" t="str">
        <f t="shared" si="16"/>
        <v/>
      </c>
      <c r="K213" s="16" t="str">
        <f t="shared" si="17"/>
        <v/>
      </c>
      <c r="L213" s="16" t="str">
        <f>IF(E213="","",IFERROR(INDEX(tblProductos[COSTO TOTAL],MATCH(E213,tblProductos[ITEM],0)),""))</f>
        <v/>
      </c>
      <c r="M213" s="16" t="str">
        <f t="shared" si="18"/>
        <v/>
      </c>
      <c r="N213" s="16" t="str">
        <f t="shared" si="19"/>
        <v/>
      </c>
      <c r="O213" s="14" t="s">
        <v>34</v>
      </c>
      <c r="P213" s="14" t="s">
        <v>35</v>
      </c>
      <c r="Q213" s="14" t="s">
        <v>36</v>
      </c>
      <c r="R213" s="14"/>
      <c r="S213" t="str">
        <f>IF(E213="","",IFERROR(INDEX(tblProductos[STOCK_ACTUAL],MATCH(E213,tblProductos[ITEM],0)),""))</f>
        <v/>
      </c>
    </row>
    <row r="214" spans="1:19" x14ac:dyDescent="0.3">
      <c r="A214" s="40"/>
      <c r="B214" s="14" t="str">
        <f t="shared" si="15"/>
        <v/>
      </c>
      <c r="C214" s="14" t="str">
        <f>IF(D214="","",IFERROR(INDEX(tblClientes[ID],MATCH(D214,tblClientes[NOMBRE],0)),""))</f>
        <v/>
      </c>
      <c r="D214" s="14"/>
      <c r="E214" s="14"/>
      <c r="F214" s="14" t="str">
        <f>IF(E214="","",IFERROR(INDEX(tblProductos[CATEGORIA],MATCH(E214,tblProductos[ITEM],0)),""))</f>
        <v/>
      </c>
      <c r="G214" s="15"/>
      <c r="H214" s="16"/>
      <c r="I214" s="16" t="str">
        <f>IF(E214="","",IFERROR(INDEX(tblProductos[PRECIO_VENTA],MATCH(E214,tblProductos[ITEM],0)),""))</f>
        <v/>
      </c>
      <c r="J214" s="16" t="str">
        <f t="shared" si="16"/>
        <v/>
      </c>
      <c r="K214" s="16" t="str">
        <f t="shared" si="17"/>
        <v/>
      </c>
      <c r="L214" s="16" t="str">
        <f>IF(E214="","",IFERROR(INDEX(tblProductos[COSTO TOTAL],MATCH(E214,tblProductos[ITEM],0)),""))</f>
        <v/>
      </c>
      <c r="M214" s="16" t="str">
        <f t="shared" si="18"/>
        <v/>
      </c>
      <c r="N214" s="16" t="str">
        <f t="shared" si="19"/>
        <v/>
      </c>
      <c r="O214" s="14" t="s">
        <v>34</v>
      </c>
      <c r="P214" s="14" t="s">
        <v>35</v>
      </c>
      <c r="Q214" s="14" t="s">
        <v>36</v>
      </c>
      <c r="R214" s="14"/>
      <c r="S214" t="str">
        <f>IF(E214="","",IFERROR(INDEX(tblProductos[STOCK_ACTUAL],MATCH(E214,tblProductos[ITEM],0)),""))</f>
        <v/>
      </c>
    </row>
    <row r="215" spans="1:19" x14ac:dyDescent="0.3">
      <c r="A215" s="40"/>
      <c r="B215" s="14" t="str">
        <f t="shared" si="15"/>
        <v/>
      </c>
      <c r="C215" s="14" t="str">
        <f>IF(D215="","",IFERROR(INDEX(tblClientes[ID],MATCH(D215,tblClientes[NOMBRE],0)),""))</f>
        <v/>
      </c>
      <c r="D215" s="14"/>
      <c r="E215" s="14"/>
      <c r="F215" s="14" t="str">
        <f>IF(E215="","",IFERROR(INDEX(tblProductos[CATEGORIA],MATCH(E215,tblProductos[ITEM],0)),""))</f>
        <v/>
      </c>
      <c r="G215" s="15"/>
      <c r="H215" s="16"/>
      <c r="I215" s="16" t="str">
        <f>IF(E215="","",IFERROR(INDEX(tblProductos[PRECIO_VENTA],MATCH(E215,tblProductos[ITEM],0)),""))</f>
        <v/>
      </c>
      <c r="J215" s="16" t="str">
        <f t="shared" si="16"/>
        <v/>
      </c>
      <c r="K215" s="16" t="str">
        <f t="shared" si="17"/>
        <v/>
      </c>
      <c r="L215" s="16" t="str">
        <f>IF(E215="","",IFERROR(INDEX(tblProductos[COSTO TOTAL],MATCH(E215,tblProductos[ITEM],0)),""))</f>
        <v/>
      </c>
      <c r="M215" s="16" t="str">
        <f t="shared" si="18"/>
        <v/>
      </c>
      <c r="N215" s="16" t="str">
        <f t="shared" si="19"/>
        <v/>
      </c>
      <c r="O215" s="14" t="s">
        <v>34</v>
      </c>
      <c r="P215" s="14" t="s">
        <v>35</v>
      </c>
      <c r="Q215" s="14" t="s">
        <v>36</v>
      </c>
      <c r="R215" s="14"/>
      <c r="S215" t="str">
        <f>IF(E215="","",IFERROR(INDEX(tblProductos[STOCK_ACTUAL],MATCH(E215,tblProductos[ITEM],0)),""))</f>
        <v/>
      </c>
    </row>
    <row r="216" spans="1:19" x14ac:dyDescent="0.3">
      <c r="A216" s="40"/>
      <c r="B216" s="14" t="str">
        <f t="shared" si="15"/>
        <v/>
      </c>
      <c r="C216" s="14" t="str">
        <f>IF(D216="","",IFERROR(INDEX(tblClientes[ID],MATCH(D216,tblClientes[NOMBRE],0)),""))</f>
        <v/>
      </c>
      <c r="D216" s="14"/>
      <c r="E216" s="14"/>
      <c r="F216" s="14" t="str">
        <f>IF(E216="","",IFERROR(INDEX(tblProductos[CATEGORIA],MATCH(E216,tblProductos[ITEM],0)),""))</f>
        <v/>
      </c>
      <c r="G216" s="15"/>
      <c r="H216" s="16"/>
      <c r="I216" s="16" t="str">
        <f>IF(E216="","",IFERROR(INDEX(tblProductos[PRECIO_VENTA],MATCH(E216,tblProductos[ITEM],0)),""))</f>
        <v/>
      </c>
      <c r="J216" s="16" t="str">
        <f t="shared" si="16"/>
        <v/>
      </c>
      <c r="K216" s="16" t="str">
        <f t="shared" si="17"/>
        <v/>
      </c>
      <c r="L216" s="16" t="str">
        <f>IF(E216="","",IFERROR(INDEX(tblProductos[COSTO TOTAL],MATCH(E216,tblProductos[ITEM],0)),""))</f>
        <v/>
      </c>
      <c r="M216" s="16" t="str">
        <f t="shared" si="18"/>
        <v/>
      </c>
      <c r="N216" s="16" t="str">
        <f t="shared" si="19"/>
        <v/>
      </c>
      <c r="O216" s="14" t="s">
        <v>34</v>
      </c>
      <c r="P216" s="14" t="s">
        <v>35</v>
      </c>
      <c r="Q216" s="14" t="s">
        <v>36</v>
      </c>
      <c r="R216" s="14"/>
      <c r="S216" t="str">
        <f>IF(E216="","",IFERROR(INDEX(tblProductos[STOCK_ACTUAL],MATCH(E216,tblProductos[ITEM],0)),""))</f>
        <v/>
      </c>
    </row>
    <row r="217" spans="1:19" x14ac:dyDescent="0.3">
      <c r="A217" s="40"/>
      <c r="B217" s="14" t="str">
        <f t="shared" si="15"/>
        <v/>
      </c>
      <c r="C217" s="14" t="str">
        <f>IF(D217="","",IFERROR(INDEX(tblClientes[ID],MATCH(D217,tblClientes[NOMBRE],0)),""))</f>
        <v/>
      </c>
      <c r="D217" s="14"/>
      <c r="E217" s="14"/>
      <c r="F217" s="14" t="str">
        <f>IF(E217="","",IFERROR(INDEX(tblProductos[CATEGORIA],MATCH(E217,tblProductos[ITEM],0)),""))</f>
        <v/>
      </c>
      <c r="G217" s="15"/>
      <c r="H217" s="16"/>
      <c r="I217" s="16" t="str">
        <f>IF(E217="","",IFERROR(INDEX(tblProductos[PRECIO_VENTA],MATCH(E217,tblProductos[ITEM],0)),""))</f>
        <v/>
      </c>
      <c r="J217" s="16" t="str">
        <f t="shared" si="16"/>
        <v/>
      </c>
      <c r="K217" s="16" t="str">
        <f t="shared" si="17"/>
        <v/>
      </c>
      <c r="L217" s="16" t="str">
        <f>IF(E217="","",IFERROR(INDEX(tblProductos[COSTO TOTAL],MATCH(E217,tblProductos[ITEM],0)),""))</f>
        <v/>
      </c>
      <c r="M217" s="16" t="str">
        <f t="shared" si="18"/>
        <v/>
      </c>
      <c r="N217" s="16" t="str">
        <f t="shared" si="19"/>
        <v/>
      </c>
      <c r="O217" s="14" t="s">
        <v>34</v>
      </c>
      <c r="P217" s="14" t="s">
        <v>35</v>
      </c>
      <c r="Q217" s="14" t="s">
        <v>36</v>
      </c>
      <c r="R217" s="14"/>
      <c r="S217" t="str">
        <f>IF(E217="","",IFERROR(INDEX(tblProductos[STOCK_ACTUAL],MATCH(E217,tblProductos[ITEM],0)),""))</f>
        <v/>
      </c>
    </row>
    <row r="218" spans="1:19" x14ac:dyDescent="0.3">
      <c r="A218" s="40"/>
      <c r="B218" s="14" t="str">
        <f t="shared" si="15"/>
        <v/>
      </c>
      <c r="C218" s="14" t="str">
        <f>IF(D218="","",IFERROR(INDEX(tblClientes[ID],MATCH(D218,tblClientes[NOMBRE],0)),""))</f>
        <v/>
      </c>
      <c r="D218" s="14"/>
      <c r="E218" s="14"/>
      <c r="F218" s="14" t="str">
        <f>IF(E218="","",IFERROR(INDEX(tblProductos[CATEGORIA],MATCH(E218,tblProductos[ITEM],0)),""))</f>
        <v/>
      </c>
      <c r="G218" s="15"/>
      <c r="H218" s="16"/>
      <c r="I218" s="16" t="str">
        <f>IF(E218="","",IFERROR(INDEX(tblProductos[PRECIO_VENTA],MATCH(E218,tblProductos[ITEM],0)),""))</f>
        <v/>
      </c>
      <c r="J218" s="16" t="str">
        <f t="shared" si="16"/>
        <v/>
      </c>
      <c r="K218" s="16" t="str">
        <f t="shared" si="17"/>
        <v/>
      </c>
      <c r="L218" s="16" t="str">
        <f>IF(E218="","",IFERROR(INDEX(tblProductos[COSTO TOTAL],MATCH(E218,tblProductos[ITEM],0)),""))</f>
        <v/>
      </c>
      <c r="M218" s="16" t="str">
        <f t="shared" si="18"/>
        <v/>
      </c>
      <c r="N218" s="16" t="str">
        <f t="shared" si="19"/>
        <v/>
      </c>
      <c r="O218" s="14" t="s">
        <v>34</v>
      </c>
      <c r="P218" s="14" t="s">
        <v>35</v>
      </c>
      <c r="Q218" s="14" t="s">
        <v>36</v>
      </c>
      <c r="R218" s="14"/>
      <c r="S218" t="str">
        <f>IF(E218="","",IFERROR(INDEX(tblProductos[STOCK_ACTUAL],MATCH(E218,tblProductos[ITEM],0)),""))</f>
        <v/>
      </c>
    </row>
    <row r="219" spans="1:19" x14ac:dyDescent="0.3">
      <c r="A219" s="40"/>
      <c r="B219" s="14" t="str">
        <f t="shared" si="15"/>
        <v/>
      </c>
      <c r="C219" s="14" t="str">
        <f>IF(D219="","",IFERROR(INDEX(tblClientes[ID],MATCH(D219,tblClientes[NOMBRE],0)),""))</f>
        <v/>
      </c>
      <c r="D219" s="14"/>
      <c r="E219" s="14"/>
      <c r="F219" s="14" t="str">
        <f>IF(E219="","",IFERROR(INDEX(tblProductos[CATEGORIA],MATCH(E219,tblProductos[ITEM],0)),""))</f>
        <v/>
      </c>
      <c r="G219" s="15"/>
      <c r="H219" s="16"/>
      <c r="I219" s="16" t="str">
        <f>IF(E219="","",IFERROR(INDEX(tblProductos[PRECIO_VENTA],MATCH(E219,tblProductos[ITEM],0)),""))</f>
        <v/>
      </c>
      <c r="J219" s="16" t="str">
        <f t="shared" si="16"/>
        <v/>
      </c>
      <c r="K219" s="16" t="str">
        <f t="shared" si="17"/>
        <v/>
      </c>
      <c r="L219" s="16" t="str">
        <f>IF(E219="","",IFERROR(INDEX(tblProductos[COSTO TOTAL],MATCH(E219,tblProductos[ITEM],0)),""))</f>
        <v/>
      </c>
      <c r="M219" s="16" t="str">
        <f t="shared" si="18"/>
        <v/>
      </c>
      <c r="N219" s="16" t="str">
        <f t="shared" si="19"/>
        <v/>
      </c>
      <c r="O219" s="14" t="s">
        <v>34</v>
      </c>
      <c r="P219" s="14" t="s">
        <v>35</v>
      </c>
      <c r="Q219" s="14" t="s">
        <v>36</v>
      </c>
      <c r="R219" s="14"/>
      <c r="S219" t="str">
        <f>IF(E219="","",IFERROR(INDEX(tblProductos[STOCK_ACTUAL],MATCH(E219,tblProductos[ITEM],0)),""))</f>
        <v/>
      </c>
    </row>
    <row r="220" spans="1:19" x14ac:dyDescent="0.3">
      <c r="A220" s="40"/>
      <c r="B220" s="14" t="str">
        <f t="shared" si="15"/>
        <v/>
      </c>
      <c r="C220" s="14" t="str">
        <f>IF(D220="","",IFERROR(INDEX(tblClientes[ID],MATCH(D220,tblClientes[NOMBRE],0)),""))</f>
        <v/>
      </c>
      <c r="D220" s="14"/>
      <c r="E220" s="14"/>
      <c r="F220" s="14" t="str">
        <f>IF(E220="","",IFERROR(INDEX(tblProductos[CATEGORIA],MATCH(E220,tblProductos[ITEM],0)),""))</f>
        <v/>
      </c>
      <c r="G220" s="15"/>
      <c r="H220" s="16"/>
      <c r="I220" s="16" t="str">
        <f>IF(E220="","",IFERROR(INDEX(tblProductos[PRECIO_VENTA],MATCH(E220,tblProductos[ITEM],0)),""))</f>
        <v/>
      </c>
      <c r="J220" s="16" t="str">
        <f t="shared" si="16"/>
        <v/>
      </c>
      <c r="K220" s="16" t="str">
        <f t="shared" si="17"/>
        <v/>
      </c>
      <c r="L220" s="16" t="str">
        <f>IF(E220="","",IFERROR(INDEX(tblProductos[COSTO TOTAL],MATCH(E220,tblProductos[ITEM],0)),""))</f>
        <v/>
      </c>
      <c r="M220" s="16" t="str">
        <f t="shared" si="18"/>
        <v/>
      </c>
      <c r="N220" s="16" t="str">
        <f t="shared" si="19"/>
        <v/>
      </c>
      <c r="O220" s="14" t="s">
        <v>34</v>
      </c>
      <c r="P220" s="14" t="s">
        <v>35</v>
      </c>
      <c r="Q220" s="14" t="s">
        <v>36</v>
      </c>
      <c r="R220" s="14"/>
      <c r="S220" t="str">
        <f>IF(E220="","",IFERROR(INDEX(tblProductos[STOCK_ACTUAL],MATCH(E220,tblProductos[ITEM],0)),""))</f>
        <v/>
      </c>
    </row>
    <row r="221" spans="1:19" x14ac:dyDescent="0.3">
      <c r="A221" s="40"/>
      <c r="B221" s="14" t="str">
        <f t="shared" si="15"/>
        <v/>
      </c>
      <c r="C221" s="14" t="str">
        <f>IF(D221="","",IFERROR(INDEX(tblClientes[ID],MATCH(D221,tblClientes[NOMBRE],0)),""))</f>
        <v/>
      </c>
      <c r="D221" s="14"/>
      <c r="E221" s="14"/>
      <c r="F221" s="14" t="str">
        <f>IF(E221="","",IFERROR(INDEX(tblProductos[CATEGORIA],MATCH(E221,tblProductos[ITEM],0)),""))</f>
        <v/>
      </c>
      <c r="G221" s="15"/>
      <c r="H221" s="16"/>
      <c r="I221" s="16" t="str">
        <f>IF(E221="","",IFERROR(INDEX(tblProductos[PRECIO_VENTA],MATCH(E221,tblProductos[ITEM],0)),""))</f>
        <v/>
      </c>
      <c r="J221" s="16" t="str">
        <f t="shared" si="16"/>
        <v/>
      </c>
      <c r="K221" s="16" t="str">
        <f t="shared" si="17"/>
        <v/>
      </c>
      <c r="L221" s="16" t="str">
        <f>IF(E221="","",IFERROR(INDEX(tblProductos[COSTO TOTAL],MATCH(E221,tblProductos[ITEM],0)),""))</f>
        <v/>
      </c>
      <c r="M221" s="16" t="str">
        <f t="shared" si="18"/>
        <v/>
      </c>
      <c r="N221" s="16" t="str">
        <f t="shared" si="19"/>
        <v/>
      </c>
      <c r="O221" s="14" t="s">
        <v>34</v>
      </c>
      <c r="P221" s="14" t="s">
        <v>35</v>
      </c>
      <c r="Q221" s="14" t="s">
        <v>36</v>
      </c>
      <c r="R221" s="14"/>
      <c r="S221" t="str">
        <f>IF(E221="","",IFERROR(INDEX(tblProductos[STOCK_ACTUAL],MATCH(E221,tblProductos[ITEM],0)),""))</f>
        <v/>
      </c>
    </row>
    <row r="222" spans="1:19" x14ac:dyDescent="0.3">
      <c r="A222" s="40"/>
      <c r="B222" s="14" t="str">
        <f t="shared" si="15"/>
        <v/>
      </c>
      <c r="C222" s="14" t="str">
        <f>IF(D222="","",IFERROR(INDEX(tblClientes[ID],MATCH(D222,tblClientes[NOMBRE],0)),""))</f>
        <v/>
      </c>
      <c r="D222" s="14"/>
      <c r="E222" s="14"/>
      <c r="F222" s="14" t="str">
        <f>IF(E222="","",IFERROR(INDEX(tblProductos[CATEGORIA],MATCH(E222,tblProductos[ITEM],0)),""))</f>
        <v/>
      </c>
      <c r="G222" s="15"/>
      <c r="H222" s="16"/>
      <c r="I222" s="16" t="str">
        <f>IF(E222="","",IFERROR(INDEX(tblProductos[PRECIO_VENTA],MATCH(E222,tblProductos[ITEM],0)),""))</f>
        <v/>
      </c>
      <c r="J222" s="16" t="str">
        <f t="shared" si="16"/>
        <v/>
      </c>
      <c r="K222" s="16" t="str">
        <f t="shared" si="17"/>
        <v/>
      </c>
      <c r="L222" s="16" t="str">
        <f>IF(E222="","",IFERROR(INDEX(tblProductos[COSTO TOTAL],MATCH(E222,tblProductos[ITEM],0)),""))</f>
        <v/>
      </c>
      <c r="M222" s="16" t="str">
        <f t="shared" si="18"/>
        <v/>
      </c>
      <c r="N222" s="16" t="str">
        <f t="shared" si="19"/>
        <v/>
      </c>
      <c r="O222" s="14" t="s">
        <v>34</v>
      </c>
      <c r="P222" s="14" t="s">
        <v>35</v>
      </c>
      <c r="Q222" s="14" t="s">
        <v>36</v>
      </c>
      <c r="R222" s="14"/>
      <c r="S222" t="str">
        <f>IF(E222="","",IFERROR(INDEX(tblProductos[STOCK_ACTUAL],MATCH(E222,tblProductos[ITEM],0)),""))</f>
        <v/>
      </c>
    </row>
    <row r="223" spans="1:19" x14ac:dyDescent="0.3">
      <c r="A223" s="40"/>
      <c r="B223" s="14" t="str">
        <f t="shared" si="15"/>
        <v/>
      </c>
      <c r="C223" s="14" t="str">
        <f>IF(D223="","",IFERROR(INDEX(tblClientes[ID],MATCH(D223,tblClientes[NOMBRE],0)),""))</f>
        <v/>
      </c>
      <c r="D223" s="14"/>
      <c r="E223" s="14"/>
      <c r="F223" s="14" t="str">
        <f>IF(E223="","",IFERROR(INDEX(tblProductos[CATEGORIA],MATCH(E223,tblProductos[ITEM],0)),""))</f>
        <v/>
      </c>
      <c r="G223" s="15"/>
      <c r="H223" s="16"/>
      <c r="I223" s="16" t="str">
        <f>IF(E223="","",IFERROR(INDEX(tblProductos[PRECIO_VENTA],MATCH(E223,tblProductos[ITEM],0)),""))</f>
        <v/>
      </c>
      <c r="J223" s="16" t="str">
        <f t="shared" si="16"/>
        <v/>
      </c>
      <c r="K223" s="16" t="str">
        <f t="shared" si="17"/>
        <v/>
      </c>
      <c r="L223" s="16" t="str">
        <f>IF(E223="","",IFERROR(INDEX(tblProductos[COSTO TOTAL],MATCH(E223,tblProductos[ITEM],0)),""))</f>
        <v/>
      </c>
      <c r="M223" s="16" t="str">
        <f t="shared" si="18"/>
        <v/>
      </c>
      <c r="N223" s="16" t="str">
        <f t="shared" si="19"/>
        <v/>
      </c>
      <c r="O223" s="14" t="s">
        <v>34</v>
      </c>
      <c r="P223" s="14" t="s">
        <v>35</v>
      </c>
      <c r="Q223" s="14" t="s">
        <v>36</v>
      </c>
      <c r="R223" s="14"/>
      <c r="S223" t="str">
        <f>IF(E223="","",IFERROR(INDEX(tblProductos[STOCK_ACTUAL],MATCH(E223,tblProductos[ITEM],0)),""))</f>
        <v/>
      </c>
    </row>
    <row r="224" spans="1:19" x14ac:dyDescent="0.3">
      <c r="A224" s="40"/>
      <c r="B224" s="14" t="str">
        <f t="shared" si="15"/>
        <v/>
      </c>
      <c r="C224" s="14" t="str">
        <f>IF(D224="","",IFERROR(INDEX(tblClientes[ID],MATCH(D224,tblClientes[NOMBRE],0)),""))</f>
        <v/>
      </c>
      <c r="D224" s="14"/>
      <c r="E224" s="14"/>
      <c r="F224" s="14" t="str">
        <f>IF(E224="","",IFERROR(INDEX(tblProductos[CATEGORIA],MATCH(E224,tblProductos[ITEM],0)),""))</f>
        <v/>
      </c>
      <c r="G224" s="15"/>
      <c r="H224" s="16"/>
      <c r="I224" s="16" t="str">
        <f>IF(E224="","",IFERROR(INDEX(tblProductos[PRECIO_VENTA],MATCH(E224,tblProductos[ITEM],0)),""))</f>
        <v/>
      </c>
      <c r="J224" s="16" t="str">
        <f t="shared" si="16"/>
        <v/>
      </c>
      <c r="K224" s="16" t="str">
        <f t="shared" si="17"/>
        <v/>
      </c>
      <c r="L224" s="16" t="str">
        <f>IF(E224="","",IFERROR(INDEX(tblProductos[COSTO TOTAL],MATCH(E224,tblProductos[ITEM],0)),""))</f>
        <v/>
      </c>
      <c r="M224" s="16" t="str">
        <f t="shared" si="18"/>
        <v/>
      </c>
      <c r="N224" s="16" t="str">
        <f t="shared" si="19"/>
        <v/>
      </c>
      <c r="O224" s="14" t="s">
        <v>34</v>
      </c>
      <c r="P224" s="14" t="s">
        <v>35</v>
      </c>
      <c r="Q224" s="14" t="s">
        <v>36</v>
      </c>
      <c r="R224" s="14"/>
      <c r="S224" t="str">
        <f>IF(E224="","",IFERROR(INDEX(tblProductos[STOCK_ACTUAL],MATCH(E224,tblProductos[ITEM],0)),""))</f>
        <v/>
      </c>
    </row>
    <row r="225" spans="1:19" x14ac:dyDescent="0.3">
      <c r="A225" s="40"/>
      <c r="B225" s="14" t="str">
        <f t="shared" si="15"/>
        <v/>
      </c>
      <c r="C225" s="14" t="str">
        <f>IF(D225="","",IFERROR(INDEX(tblClientes[ID],MATCH(D225,tblClientes[NOMBRE],0)),""))</f>
        <v/>
      </c>
      <c r="D225" s="14"/>
      <c r="E225" s="14"/>
      <c r="F225" s="14" t="str">
        <f>IF(E225="","",IFERROR(INDEX(tblProductos[CATEGORIA],MATCH(E225,tblProductos[ITEM],0)),""))</f>
        <v/>
      </c>
      <c r="G225" s="15"/>
      <c r="H225" s="16"/>
      <c r="I225" s="16" t="str">
        <f>IF(E225="","",IFERROR(INDEX(tblProductos[PRECIO_VENTA],MATCH(E225,tblProductos[ITEM],0)),""))</f>
        <v/>
      </c>
      <c r="J225" s="16" t="str">
        <f t="shared" si="16"/>
        <v/>
      </c>
      <c r="K225" s="16" t="str">
        <f t="shared" si="17"/>
        <v/>
      </c>
      <c r="L225" s="16" t="str">
        <f>IF(E225="","",IFERROR(INDEX(tblProductos[COSTO TOTAL],MATCH(E225,tblProductos[ITEM],0)),""))</f>
        <v/>
      </c>
      <c r="M225" s="16" t="str">
        <f t="shared" si="18"/>
        <v/>
      </c>
      <c r="N225" s="16" t="str">
        <f t="shared" si="19"/>
        <v/>
      </c>
      <c r="O225" s="14" t="s">
        <v>34</v>
      </c>
      <c r="P225" s="14" t="s">
        <v>35</v>
      </c>
      <c r="Q225" s="14" t="s">
        <v>36</v>
      </c>
      <c r="R225" s="14"/>
      <c r="S225" t="str">
        <f>IF(E225="","",IFERROR(INDEX(tblProductos[STOCK_ACTUAL],MATCH(E225,tblProductos[ITEM],0)),""))</f>
        <v/>
      </c>
    </row>
    <row r="226" spans="1:19" x14ac:dyDescent="0.3">
      <c r="A226" s="40"/>
      <c r="B226" s="14" t="str">
        <f t="shared" si="15"/>
        <v/>
      </c>
      <c r="C226" s="14" t="str">
        <f>IF(D226="","",IFERROR(INDEX(tblClientes[ID],MATCH(D226,tblClientes[NOMBRE],0)),""))</f>
        <v/>
      </c>
      <c r="D226" s="14"/>
      <c r="E226" s="14"/>
      <c r="F226" s="14" t="str">
        <f>IF(E226="","",IFERROR(INDEX(tblProductos[CATEGORIA],MATCH(E226,tblProductos[ITEM],0)),""))</f>
        <v/>
      </c>
      <c r="G226" s="15"/>
      <c r="H226" s="16"/>
      <c r="I226" s="16" t="str">
        <f>IF(E226="","",IFERROR(INDEX(tblProductos[PRECIO_VENTA],MATCH(E226,tblProductos[ITEM],0)),""))</f>
        <v/>
      </c>
      <c r="J226" s="16" t="str">
        <f t="shared" si="16"/>
        <v/>
      </c>
      <c r="K226" s="16" t="str">
        <f t="shared" si="17"/>
        <v/>
      </c>
      <c r="L226" s="16" t="str">
        <f>IF(E226="","",IFERROR(INDEX(tblProductos[COSTO TOTAL],MATCH(E226,tblProductos[ITEM],0)),""))</f>
        <v/>
      </c>
      <c r="M226" s="16" t="str">
        <f t="shared" si="18"/>
        <v/>
      </c>
      <c r="N226" s="16" t="str">
        <f t="shared" si="19"/>
        <v/>
      </c>
      <c r="O226" s="14" t="s">
        <v>34</v>
      </c>
      <c r="P226" s="14" t="s">
        <v>35</v>
      </c>
      <c r="Q226" s="14" t="s">
        <v>36</v>
      </c>
      <c r="R226" s="14"/>
      <c r="S226" t="str">
        <f>IF(E226="","",IFERROR(INDEX(tblProductos[STOCK_ACTUAL],MATCH(E226,tblProductos[ITEM],0)),""))</f>
        <v/>
      </c>
    </row>
    <row r="227" spans="1:19" x14ac:dyDescent="0.3">
      <c r="A227" s="40"/>
      <c r="B227" s="14" t="str">
        <f t="shared" si="15"/>
        <v/>
      </c>
      <c r="C227" s="14" t="str">
        <f>IF(D227="","",IFERROR(INDEX(tblClientes[ID],MATCH(D227,tblClientes[NOMBRE],0)),""))</f>
        <v/>
      </c>
      <c r="D227" s="14"/>
      <c r="E227" s="14"/>
      <c r="F227" s="14" t="str">
        <f>IF(E227="","",IFERROR(INDEX(tblProductos[CATEGORIA],MATCH(E227,tblProductos[ITEM],0)),""))</f>
        <v/>
      </c>
      <c r="G227" s="15"/>
      <c r="H227" s="16"/>
      <c r="I227" s="16" t="str">
        <f>IF(E227="","",IFERROR(INDEX(tblProductos[PRECIO_VENTA],MATCH(E227,tblProductos[ITEM],0)),""))</f>
        <v/>
      </c>
      <c r="J227" s="16" t="str">
        <f t="shared" si="16"/>
        <v/>
      </c>
      <c r="K227" s="16" t="str">
        <f t="shared" si="17"/>
        <v/>
      </c>
      <c r="L227" s="16" t="str">
        <f>IF(E227="","",IFERROR(INDEX(tblProductos[COSTO TOTAL],MATCH(E227,tblProductos[ITEM],0)),""))</f>
        <v/>
      </c>
      <c r="M227" s="16" t="str">
        <f t="shared" si="18"/>
        <v/>
      </c>
      <c r="N227" s="16" t="str">
        <f t="shared" si="19"/>
        <v/>
      </c>
      <c r="O227" s="14" t="s">
        <v>34</v>
      </c>
      <c r="P227" s="14" t="s">
        <v>35</v>
      </c>
      <c r="Q227" s="14" t="s">
        <v>36</v>
      </c>
      <c r="R227" s="14"/>
      <c r="S227" t="str">
        <f>IF(E227="","",IFERROR(INDEX(tblProductos[STOCK_ACTUAL],MATCH(E227,tblProductos[ITEM],0)),""))</f>
        <v/>
      </c>
    </row>
    <row r="228" spans="1:19" x14ac:dyDescent="0.3">
      <c r="A228" s="40"/>
      <c r="B228" s="14" t="str">
        <f t="shared" si="15"/>
        <v/>
      </c>
      <c r="C228" s="14" t="str">
        <f>IF(D228="","",IFERROR(INDEX(tblClientes[ID],MATCH(D228,tblClientes[NOMBRE],0)),""))</f>
        <v/>
      </c>
      <c r="D228" s="14"/>
      <c r="E228" s="14"/>
      <c r="F228" s="14" t="str">
        <f>IF(E228="","",IFERROR(INDEX(tblProductos[CATEGORIA],MATCH(E228,tblProductos[ITEM],0)),""))</f>
        <v/>
      </c>
      <c r="G228" s="15"/>
      <c r="H228" s="16"/>
      <c r="I228" s="16" t="str">
        <f>IF(E228="","",IFERROR(INDEX(tblProductos[PRECIO_VENTA],MATCH(E228,tblProductos[ITEM],0)),""))</f>
        <v/>
      </c>
      <c r="J228" s="16" t="str">
        <f t="shared" si="16"/>
        <v/>
      </c>
      <c r="K228" s="16" t="str">
        <f t="shared" si="17"/>
        <v/>
      </c>
      <c r="L228" s="16" t="str">
        <f>IF(E228="","",IFERROR(INDEX(tblProductos[COSTO TOTAL],MATCH(E228,tblProductos[ITEM],0)),""))</f>
        <v/>
      </c>
      <c r="M228" s="16" t="str">
        <f t="shared" si="18"/>
        <v/>
      </c>
      <c r="N228" s="16" t="str">
        <f t="shared" si="19"/>
        <v/>
      </c>
      <c r="O228" s="14" t="s">
        <v>34</v>
      </c>
      <c r="P228" s="14" t="s">
        <v>35</v>
      </c>
      <c r="Q228" s="14" t="s">
        <v>36</v>
      </c>
      <c r="R228" s="14"/>
      <c r="S228" t="str">
        <f>IF(E228="","",IFERROR(INDEX(tblProductos[STOCK_ACTUAL],MATCH(E228,tblProductos[ITEM],0)),""))</f>
        <v/>
      </c>
    </row>
    <row r="229" spans="1:19" x14ac:dyDescent="0.3">
      <c r="A229" s="40"/>
      <c r="B229" s="14" t="str">
        <f t="shared" si="15"/>
        <v/>
      </c>
      <c r="C229" s="14" t="str">
        <f>IF(D229="","",IFERROR(INDEX(tblClientes[ID],MATCH(D229,tblClientes[NOMBRE],0)),""))</f>
        <v/>
      </c>
      <c r="D229" s="14"/>
      <c r="E229" s="14"/>
      <c r="F229" s="14" t="str">
        <f>IF(E229="","",IFERROR(INDEX(tblProductos[CATEGORIA],MATCH(E229,tblProductos[ITEM],0)),""))</f>
        <v/>
      </c>
      <c r="G229" s="15"/>
      <c r="H229" s="16"/>
      <c r="I229" s="16" t="str">
        <f>IF(E229="","",IFERROR(INDEX(tblProductos[PRECIO_VENTA],MATCH(E229,tblProductos[ITEM],0)),""))</f>
        <v/>
      </c>
      <c r="J229" s="16" t="str">
        <f t="shared" si="16"/>
        <v/>
      </c>
      <c r="K229" s="16" t="str">
        <f t="shared" si="17"/>
        <v/>
      </c>
      <c r="L229" s="16" t="str">
        <f>IF(E229="","",IFERROR(INDEX(tblProductos[COSTO TOTAL],MATCH(E229,tblProductos[ITEM],0)),""))</f>
        <v/>
      </c>
      <c r="M229" s="16" t="str">
        <f t="shared" si="18"/>
        <v/>
      </c>
      <c r="N229" s="16" t="str">
        <f t="shared" si="19"/>
        <v/>
      </c>
      <c r="O229" s="14" t="s">
        <v>34</v>
      </c>
      <c r="P229" s="14" t="s">
        <v>35</v>
      </c>
      <c r="Q229" s="14" t="s">
        <v>36</v>
      </c>
      <c r="R229" s="14"/>
      <c r="S229" t="str">
        <f>IF(E229="","",IFERROR(INDEX(tblProductos[STOCK_ACTUAL],MATCH(E229,tblProductos[ITEM],0)),""))</f>
        <v/>
      </c>
    </row>
    <row r="230" spans="1:19" x14ac:dyDescent="0.3">
      <c r="A230" s="40"/>
      <c r="B230" s="14" t="str">
        <f t="shared" si="15"/>
        <v/>
      </c>
      <c r="C230" s="14" t="str">
        <f>IF(D230="","",IFERROR(INDEX(tblClientes[ID],MATCH(D230,tblClientes[NOMBRE],0)),""))</f>
        <v/>
      </c>
      <c r="D230" s="14"/>
      <c r="E230" s="14"/>
      <c r="F230" s="14" t="str">
        <f>IF(E230="","",IFERROR(INDEX(tblProductos[CATEGORIA],MATCH(E230,tblProductos[ITEM],0)),""))</f>
        <v/>
      </c>
      <c r="G230" s="15"/>
      <c r="H230" s="16"/>
      <c r="I230" s="16" t="str">
        <f>IF(E230="","",IFERROR(INDEX(tblProductos[PRECIO_VENTA],MATCH(E230,tblProductos[ITEM],0)),""))</f>
        <v/>
      </c>
      <c r="J230" s="16" t="str">
        <f t="shared" si="16"/>
        <v/>
      </c>
      <c r="K230" s="16" t="str">
        <f t="shared" si="17"/>
        <v/>
      </c>
      <c r="L230" s="16" t="str">
        <f>IF(E230="","",IFERROR(INDEX(tblProductos[COSTO TOTAL],MATCH(E230,tblProductos[ITEM],0)),""))</f>
        <v/>
      </c>
      <c r="M230" s="16" t="str">
        <f t="shared" si="18"/>
        <v/>
      </c>
      <c r="N230" s="16" t="str">
        <f t="shared" si="19"/>
        <v/>
      </c>
      <c r="O230" s="14" t="s">
        <v>34</v>
      </c>
      <c r="P230" s="14" t="s">
        <v>35</v>
      </c>
      <c r="Q230" s="14" t="s">
        <v>36</v>
      </c>
      <c r="R230" s="14"/>
      <c r="S230" t="str">
        <f>IF(E230="","",IFERROR(INDEX(tblProductos[STOCK_ACTUAL],MATCH(E230,tblProductos[ITEM],0)),""))</f>
        <v/>
      </c>
    </row>
    <row r="231" spans="1:19" x14ac:dyDescent="0.3">
      <c r="A231" s="40"/>
      <c r="B231" s="14" t="str">
        <f t="shared" si="15"/>
        <v/>
      </c>
      <c r="C231" s="14" t="str">
        <f>IF(D231="","",IFERROR(INDEX(tblClientes[ID],MATCH(D231,tblClientes[NOMBRE],0)),""))</f>
        <v/>
      </c>
      <c r="D231" s="14"/>
      <c r="E231" s="14"/>
      <c r="F231" s="14" t="str">
        <f>IF(E231="","",IFERROR(INDEX(tblProductos[CATEGORIA],MATCH(E231,tblProductos[ITEM],0)),""))</f>
        <v/>
      </c>
      <c r="G231" s="15"/>
      <c r="H231" s="16"/>
      <c r="I231" s="16" t="str">
        <f>IF(E231="","",IFERROR(INDEX(tblProductos[PRECIO_VENTA],MATCH(E231,tblProductos[ITEM],0)),""))</f>
        <v/>
      </c>
      <c r="J231" s="16" t="str">
        <f t="shared" si="16"/>
        <v/>
      </c>
      <c r="K231" s="16" t="str">
        <f t="shared" si="17"/>
        <v/>
      </c>
      <c r="L231" s="16" t="str">
        <f>IF(E231="","",IFERROR(INDEX(tblProductos[COSTO TOTAL],MATCH(E231,tblProductos[ITEM],0)),""))</f>
        <v/>
      </c>
      <c r="M231" s="16" t="str">
        <f t="shared" si="18"/>
        <v/>
      </c>
      <c r="N231" s="16" t="str">
        <f t="shared" si="19"/>
        <v/>
      </c>
      <c r="O231" s="14" t="s">
        <v>34</v>
      </c>
      <c r="P231" s="14" t="s">
        <v>35</v>
      </c>
      <c r="Q231" s="14" t="s">
        <v>36</v>
      </c>
      <c r="R231" s="14"/>
      <c r="S231" t="str">
        <f>IF(E231="","",IFERROR(INDEX(tblProductos[STOCK_ACTUAL],MATCH(E231,tblProductos[ITEM],0)),""))</f>
        <v/>
      </c>
    </row>
    <row r="232" spans="1:19" x14ac:dyDescent="0.3">
      <c r="A232" s="40"/>
      <c r="B232" s="14" t="str">
        <f t="shared" si="15"/>
        <v/>
      </c>
      <c r="C232" s="14" t="str">
        <f>IF(D232="","",IFERROR(INDEX(tblClientes[ID],MATCH(D232,tblClientes[NOMBRE],0)),""))</f>
        <v/>
      </c>
      <c r="D232" s="14"/>
      <c r="E232" s="14"/>
      <c r="F232" s="14" t="str">
        <f>IF(E232="","",IFERROR(INDEX(tblProductos[CATEGORIA],MATCH(E232,tblProductos[ITEM],0)),""))</f>
        <v/>
      </c>
      <c r="G232" s="15"/>
      <c r="H232" s="16"/>
      <c r="I232" s="16" t="str">
        <f>IF(E232="","",IFERROR(INDEX(tblProductos[PRECIO_VENTA],MATCH(E232,tblProductos[ITEM],0)),""))</f>
        <v/>
      </c>
      <c r="J232" s="16" t="str">
        <f t="shared" si="16"/>
        <v/>
      </c>
      <c r="K232" s="16" t="str">
        <f t="shared" si="17"/>
        <v/>
      </c>
      <c r="L232" s="16" t="str">
        <f>IF(E232="","",IFERROR(INDEX(tblProductos[COSTO TOTAL],MATCH(E232,tblProductos[ITEM],0)),""))</f>
        <v/>
      </c>
      <c r="M232" s="16" t="str">
        <f t="shared" si="18"/>
        <v/>
      </c>
      <c r="N232" s="16" t="str">
        <f t="shared" si="19"/>
        <v/>
      </c>
      <c r="O232" s="14" t="s">
        <v>34</v>
      </c>
      <c r="P232" s="14" t="s">
        <v>35</v>
      </c>
      <c r="Q232" s="14" t="s">
        <v>36</v>
      </c>
      <c r="R232" s="14"/>
      <c r="S232" t="str">
        <f>IF(E232="","",IFERROR(INDEX(tblProductos[STOCK_ACTUAL],MATCH(E232,tblProductos[ITEM],0)),""))</f>
        <v/>
      </c>
    </row>
    <row r="233" spans="1:19" x14ac:dyDescent="0.3">
      <c r="A233" s="40"/>
      <c r="B233" s="14" t="str">
        <f t="shared" si="15"/>
        <v/>
      </c>
      <c r="C233" s="14" t="str">
        <f>IF(D233="","",IFERROR(INDEX(tblClientes[ID],MATCH(D233,tblClientes[NOMBRE],0)),""))</f>
        <v/>
      </c>
      <c r="D233" s="14"/>
      <c r="E233" s="14"/>
      <c r="F233" s="14" t="str">
        <f>IF(E233="","",IFERROR(INDEX(tblProductos[CATEGORIA],MATCH(E233,tblProductos[ITEM],0)),""))</f>
        <v/>
      </c>
      <c r="G233" s="15"/>
      <c r="H233" s="16"/>
      <c r="I233" s="16" t="str">
        <f>IF(E233="","",IFERROR(INDEX(tblProductos[PRECIO_VENTA],MATCH(E233,tblProductos[ITEM],0)),""))</f>
        <v/>
      </c>
      <c r="J233" s="16" t="str">
        <f t="shared" si="16"/>
        <v/>
      </c>
      <c r="K233" s="16" t="str">
        <f t="shared" si="17"/>
        <v/>
      </c>
      <c r="L233" s="16" t="str">
        <f>IF(E233="","",IFERROR(INDEX(tblProductos[COSTO TOTAL],MATCH(E233,tblProductos[ITEM],0)),""))</f>
        <v/>
      </c>
      <c r="M233" s="16" t="str">
        <f t="shared" si="18"/>
        <v/>
      </c>
      <c r="N233" s="16" t="str">
        <f t="shared" si="19"/>
        <v/>
      </c>
      <c r="O233" s="14" t="s">
        <v>34</v>
      </c>
      <c r="P233" s="14" t="s">
        <v>35</v>
      </c>
      <c r="Q233" s="14" t="s">
        <v>36</v>
      </c>
      <c r="R233" s="14"/>
      <c r="S233" t="str">
        <f>IF(E233="","",IFERROR(INDEX(tblProductos[STOCK_ACTUAL],MATCH(E233,tblProductos[ITEM],0)),""))</f>
        <v/>
      </c>
    </row>
    <row r="234" spans="1:19" x14ac:dyDescent="0.3">
      <c r="A234" s="40"/>
      <c r="B234" s="14" t="str">
        <f t="shared" si="15"/>
        <v/>
      </c>
      <c r="C234" s="14" t="str">
        <f>IF(D234="","",IFERROR(INDEX(tblClientes[ID],MATCH(D234,tblClientes[NOMBRE],0)),""))</f>
        <v/>
      </c>
      <c r="D234" s="14"/>
      <c r="E234" s="14"/>
      <c r="F234" s="14" t="str">
        <f>IF(E234="","",IFERROR(INDEX(tblProductos[CATEGORIA],MATCH(E234,tblProductos[ITEM],0)),""))</f>
        <v/>
      </c>
      <c r="G234" s="15"/>
      <c r="H234" s="16"/>
      <c r="I234" s="16" t="str">
        <f>IF(E234="","",IFERROR(INDEX(tblProductos[PRECIO_VENTA],MATCH(E234,tblProductos[ITEM],0)),""))</f>
        <v/>
      </c>
      <c r="J234" s="16" t="str">
        <f t="shared" si="16"/>
        <v/>
      </c>
      <c r="K234" s="16" t="str">
        <f t="shared" si="17"/>
        <v/>
      </c>
      <c r="L234" s="16" t="str">
        <f>IF(E234="","",IFERROR(INDEX(tblProductos[COSTO TOTAL],MATCH(E234,tblProductos[ITEM],0)),""))</f>
        <v/>
      </c>
      <c r="M234" s="16" t="str">
        <f t="shared" si="18"/>
        <v/>
      </c>
      <c r="N234" s="16" t="str">
        <f t="shared" si="19"/>
        <v/>
      </c>
      <c r="O234" s="14" t="s">
        <v>34</v>
      </c>
      <c r="P234" s="14" t="s">
        <v>35</v>
      </c>
      <c r="Q234" s="14" t="s">
        <v>36</v>
      </c>
      <c r="R234" s="14"/>
      <c r="S234" t="str">
        <f>IF(E234="","",IFERROR(INDEX(tblProductos[STOCK_ACTUAL],MATCH(E234,tblProductos[ITEM],0)),""))</f>
        <v/>
      </c>
    </row>
    <row r="235" spans="1:19" x14ac:dyDescent="0.3">
      <c r="A235" s="40"/>
      <c r="B235" s="14" t="str">
        <f t="shared" si="15"/>
        <v/>
      </c>
      <c r="C235" s="14" t="str">
        <f>IF(D235="","",IFERROR(INDEX(tblClientes[ID],MATCH(D235,tblClientes[NOMBRE],0)),""))</f>
        <v/>
      </c>
      <c r="D235" s="14"/>
      <c r="E235" s="14"/>
      <c r="F235" s="14" t="str">
        <f>IF(E235="","",IFERROR(INDEX(tblProductos[CATEGORIA],MATCH(E235,tblProductos[ITEM],0)),""))</f>
        <v/>
      </c>
      <c r="G235" s="15"/>
      <c r="H235" s="16"/>
      <c r="I235" s="16" t="str">
        <f>IF(E235="","",IFERROR(INDEX(tblProductos[PRECIO_VENTA],MATCH(E235,tblProductos[ITEM],0)),""))</f>
        <v/>
      </c>
      <c r="J235" s="16" t="str">
        <f t="shared" si="16"/>
        <v/>
      </c>
      <c r="K235" s="16" t="str">
        <f t="shared" si="17"/>
        <v/>
      </c>
      <c r="L235" s="16" t="str">
        <f>IF(E235="","",IFERROR(INDEX(tblProductos[COSTO TOTAL],MATCH(E235,tblProductos[ITEM],0)),""))</f>
        <v/>
      </c>
      <c r="M235" s="16" t="str">
        <f t="shared" si="18"/>
        <v/>
      </c>
      <c r="N235" s="16" t="str">
        <f t="shared" si="19"/>
        <v/>
      </c>
      <c r="O235" s="14" t="s">
        <v>34</v>
      </c>
      <c r="P235" s="14" t="s">
        <v>35</v>
      </c>
      <c r="Q235" s="14" t="s">
        <v>36</v>
      </c>
      <c r="R235" s="14"/>
      <c r="S235" t="str">
        <f>IF(E235="","",IFERROR(INDEX(tblProductos[STOCK_ACTUAL],MATCH(E235,tblProductos[ITEM],0)),""))</f>
        <v/>
      </c>
    </row>
    <row r="236" spans="1:19" x14ac:dyDescent="0.3">
      <c r="A236" s="40"/>
      <c r="B236" s="14" t="str">
        <f t="shared" si="15"/>
        <v/>
      </c>
      <c r="C236" s="14" t="str">
        <f>IF(D236="","",IFERROR(INDEX(tblClientes[ID],MATCH(D236,tblClientes[NOMBRE],0)),""))</f>
        <v/>
      </c>
      <c r="D236" s="14"/>
      <c r="E236" s="14"/>
      <c r="F236" s="14" t="str">
        <f>IF(E236="","",IFERROR(INDEX(tblProductos[CATEGORIA],MATCH(E236,tblProductos[ITEM],0)),""))</f>
        <v/>
      </c>
      <c r="G236" s="15"/>
      <c r="H236" s="16"/>
      <c r="I236" s="16" t="str">
        <f>IF(E236="","",IFERROR(INDEX(tblProductos[PRECIO_VENTA],MATCH(E236,tblProductos[ITEM],0)),""))</f>
        <v/>
      </c>
      <c r="J236" s="16" t="str">
        <f t="shared" si="16"/>
        <v/>
      </c>
      <c r="K236" s="16" t="str">
        <f t="shared" si="17"/>
        <v/>
      </c>
      <c r="L236" s="16" t="str">
        <f>IF(E236="","",IFERROR(INDEX(tblProductos[COSTO TOTAL],MATCH(E236,tblProductos[ITEM],0)),""))</f>
        <v/>
      </c>
      <c r="M236" s="16" t="str">
        <f t="shared" si="18"/>
        <v/>
      </c>
      <c r="N236" s="16" t="str">
        <f t="shared" si="19"/>
        <v/>
      </c>
      <c r="O236" s="14" t="s">
        <v>34</v>
      </c>
      <c r="P236" s="14" t="s">
        <v>35</v>
      </c>
      <c r="Q236" s="14" t="s">
        <v>36</v>
      </c>
      <c r="R236" s="14"/>
      <c r="S236" t="str">
        <f>IF(E236="","",IFERROR(INDEX(tblProductos[STOCK_ACTUAL],MATCH(E236,tblProductos[ITEM],0)),""))</f>
        <v/>
      </c>
    </row>
    <row r="237" spans="1:19" x14ac:dyDescent="0.3">
      <c r="A237" s="40"/>
      <c r="B237" s="14" t="str">
        <f t="shared" si="15"/>
        <v/>
      </c>
      <c r="C237" s="14" t="str">
        <f>IF(D237="","",IFERROR(INDEX(tblClientes[ID],MATCH(D237,tblClientes[NOMBRE],0)),""))</f>
        <v/>
      </c>
      <c r="D237" s="14"/>
      <c r="E237" s="14"/>
      <c r="F237" s="14" t="str">
        <f>IF(E237="","",IFERROR(INDEX(tblProductos[CATEGORIA],MATCH(E237,tblProductos[ITEM],0)),""))</f>
        <v/>
      </c>
      <c r="G237" s="15"/>
      <c r="H237" s="16"/>
      <c r="I237" s="16" t="str">
        <f>IF(E237="","",IFERROR(INDEX(tblProductos[PRECIO_VENTA],MATCH(E237,tblProductos[ITEM],0)),""))</f>
        <v/>
      </c>
      <c r="J237" s="16" t="str">
        <f t="shared" si="16"/>
        <v/>
      </c>
      <c r="K237" s="16" t="str">
        <f t="shared" si="17"/>
        <v/>
      </c>
      <c r="L237" s="16" t="str">
        <f>IF(E237="","",IFERROR(INDEX(tblProductos[COSTO TOTAL],MATCH(E237,tblProductos[ITEM],0)),""))</f>
        <v/>
      </c>
      <c r="M237" s="16" t="str">
        <f t="shared" si="18"/>
        <v/>
      </c>
      <c r="N237" s="16" t="str">
        <f t="shared" si="19"/>
        <v/>
      </c>
      <c r="O237" s="14" t="s">
        <v>34</v>
      </c>
      <c r="P237" s="14" t="s">
        <v>35</v>
      </c>
      <c r="Q237" s="14" t="s">
        <v>36</v>
      </c>
      <c r="R237" s="14"/>
      <c r="S237" t="str">
        <f>IF(E237="","",IFERROR(INDEX(tblProductos[STOCK_ACTUAL],MATCH(E237,tblProductos[ITEM],0)),""))</f>
        <v/>
      </c>
    </row>
    <row r="238" spans="1:19" x14ac:dyDescent="0.3">
      <c r="A238" s="40"/>
      <c r="B238" s="14" t="str">
        <f t="shared" si="15"/>
        <v/>
      </c>
      <c r="C238" s="14" t="str">
        <f>IF(D238="","",IFERROR(INDEX(tblClientes[ID],MATCH(D238,tblClientes[NOMBRE],0)),""))</f>
        <v/>
      </c>
      <c r="D238" s="14"/>
      <c r="E238" s="14"/>
      <c r="F238" s="14" t="str">
        <f>IF(E238="","",IFERROR(INDEX(tblProductos[CATEGORIA],MATCH(E238,tblProductos[ITEM],0)),""))</f>
        <v/>
      </c>
      <c r="G238" s="15"/>
      <c r="H238" s="16"/>
      <c r="I238" s="16" t="str">
        <f>IF(E238="","",IFERROR(INDEX(tblProductos[PRECIO_VENTA],MATCH(E238,tblProductos[ITEM],0)),""))</f>
        <v/>
      </c>
      <c r="J238" s="16" t="str">
        <f t="shared" si="16"/>
        <v/>
      </c>
      <c r="K238" s="16" t="str">
        <f t="shared" si="17"/>
        <v/>
      </c>
      <c r="L238" s="16" t="str">
        <f>IF(E238="","",IFERROR(INDEX(tblProductos[COSTO TOTAL],MATCH(E238,tblProductos[ITEM],0)),""))</f>
        <v/>
      </c>
      <c r="M238" s="16" t="str">
        <f t="shared" si="18"/>
        <v/>
      </c>
      <c r="N238" s="16" t="str">
        <f t="shared" si="19"/>
        <v/>
      </c>
      <c r="O238" s="14" t="s">
        <v>34</v>
      </c>
      <c r="P238" s="14" t="s">
        <v>35</v>
      </c>
      <c r="Q238" s="14" t="s">
        <v>36</v>
      </c>
      <c r="R238" s="14"/>
      <c r="S238" t="str">
        <f>IF(E238="","",IFERROR(INDEX(tblProductos[STOCK_ACTUAL],MATCH(E238,tblProductos[ITEM],0)),""))</f>
        <v/>
      </c>
    </row>
    <row r="239" spans="1:19" x14ac:dyDescent="0.3">
      <c r="A239" s="40"/>
      <c r="B239" s="14" t="str">
        <f t="shared" si="15"/>
        <v/>
      </c>
      <c r="C239" s="14" t="str">
        <f>IF(D239="","",IFERROR(INDEX(tblClientes[ID],MATCH(D239,tblClientes[NOMBRE],0)),""))</f>
        <v/>
      </c>
      <c r="D239" s="14"/>
      <c r="E239" s="14"/>
      <c r="F239" s="14" t="str">
        <f>IF(E239="","",IFERROR(INDEX(tblProductos[CATEGORIA],MATCH(E239,tblProductos[ITEM],0)),""))</f>
        <v/>
      </c>
      <c r="G239" s="15"/>
      <c r="H239" s="16"/>
      <c r="I239" s="16" t="str">
        <f>IF(E239="","",IFERROR(INDEX(tblProductos[PRECIO_VENTA],MATCH(E239,tblProductos[ITEM],0)),""))</f>
        <v/>
      </c>
      <c r="J239" s="16" t="str">
        <f t="shared" si="16"/>
        <v/>
      </c>
      <c r="K239" s="16" t="str">
        <f t="shared" si="17"/>
        <v/>
      </c>
      <c r="L239" s="16" t="str">
        <f>IF(E239="","",IFERROR(INDEX(tblProductos[COSTO TOTAL],MATCH(E239,tblProductos[ITEM],0)),""))</f>
        <v/>
      </c>
      <c r="M239" s="16" t="str">
        <f t="shared" si="18"/>
        <v/>
      </c>
      <c r="N239" s="16" t="str">
        <f t="shared" si="19"/>
        <v/>
      </c>
      <c r="O239" s="14" t="s">
        <v>34</v>
      </c>
      <c r="P239" s="14" t="s">
        <v>35</v>
      </c>
      <c r="Q239" s="14" t="s">
        <v>36</v>
      </c>
      <c r="R239" s="14"/>
      <c r="S239" t="str">
        <f>IF(E239="","",IFERROR(INDEX(tblProductos[STOCK_ACTUAL],MATCH(E239,tblProductos[ITEM],0)),""))</f>
        <v/>
      </c>
    </row>
    <row r="240" spans="1:19" x14ac:dyDescent="0.3">
      <c r="A240" s="40"/>
      <c r="B240" s="14" t="str">
        <f t="shared" si="15"/>
        <v/>
      </c>
      <c r="C240" s="14" t="str">
        <f>IF(D240="","",IFERROR(INDEX(tblClientes[ID],MATCH(D240,tblClientes[NOMBRE],0)),""))</f>
        <v/>
      </c>
      <c r="D240" s="14"/>
      <c r="E240" s="14"/>
      <c r="F240" s="14" t="str">
        <f>IF(E240="","",IFERROR(INDEX(tblProductos[CATEGORIA],MATCH(E240,tblProductos[ITEM],0)),""))</f>
        <v/>
      </c>
      <c r="G240" s="15"/>
      <c r="H240" s="16"/>
      <c r="I240" s="16" t="str">
        <f>IF(E240="","",IFERROR(INDEX(tblProductos[PRECIO_VENTA],MATCH(E240,tblProductos[ITEM],0)),""))</f>
        <v/>
      </c>
      <c r="J240" s="16" t="str">
        <f t="shared" si="16"/>
        <v/>
      </c>
      <c r="K240" s="16" t="str">
        <f t="shared" si="17"/>
        <v/>
      </c>
      <c r="L240" s="16" t="str">
        <f>IF(E240="","",IFERROR(INDEX(tblProductos[COSTO TOTAL],MATCH(E240,tblProductos[ITEM],0)),""))</f>
        <v/>
      </c>
      <c r="M240" s="16" t="str">
        <f t="shared" si="18"/>
        <v/>
      </c>
      <c r="N240" s="16" t="str">
        <f t="shared" si="19"/>
        <v/>
      </c>
      <c r="O240" s="14" t="s">
        <v>34</v>
      </c>
      <c r="P240" s="14" t="s">
        <v>35</v>
      </c>
      <c r="Q240" s="14" t="s">
        <v>36</v>
      </c>
      <c r="R240" s="14"/>
      <c r="S240" t="str">
        <f>IF(E240="","",IFERROR(INDEX(tblProductos[STOCK_ACTUAL],MATCH(E240,tblProductos[ITEM],0)),""))</f>
        <v/>
      </c>
    </row>
    <row r="241" spans="1:19" x14ac:dyDescent="0.3">
      <c r="A241" s="40"/>
      <c r="B241" s="14" t="str">
        <f t="shared" si="15"/>
        <v/>
      </c>
      <c r="C241" s="14" t="str">
        <f>IF(D241="","",IFERROR(INDEX(tblClientes[ID],MATCH(D241,tblClientes[NOMBRE],0)),""))</f>
        <v/>
      </c>
      <c r="D241" s="14"/>
      <c r="E241" s="14"/>
      <c r="F241" s="14" t="str">
        <f>IF(E241="","",IFERROR(INDEX(tblProductos[CATEGORIA],MATCH(E241,tblProductos[ITEM],0)),""))</f>
        <v/>
      </c>
      <c r="G241" s="15"/>
      <c r="H241" s="16"/>
      <c r="I241" s="16" t="str">
        <f>IF(E241="","",IFERROR(INDEX(tblProductos[PRECIO_VENTA],MATCH(E241,tblProductos[ITEM],0)),""))</f>
        <v/>
      </c>
      <c r="J241" s="16" t="str">
        <f t="shared" si="16"/>
        <v/>
      </c>
      <c r="K241" s="16" t="str">
        <f t="shared" si="17"/>
        <v/>
      </c>
      <c r="L241" s="16" t="str">
        <f>IF(E241="","",IFERROR(INDEX(tblProductos[COSTO TOTAL],MATCH(E241,tblProductos[ITEM],0)),""))</f>
        <v/>
      </c>
      <c r="M241" s="16" t="str">
        <f t="shared" si="18"/>
        <v/>
      </c>
      <c r="N241" s="16" t="str">
        <f t="shared" si="19"/>
        <v/>
      </c>
      <c r="O241" s="14" t="s">
        <v>34</v>
      </c>
      <c r="P241" s="14" t="s">
        <v>35</v>
      </c>
      <c r="Q241" s="14" t="s">
        <v>36</v>
      </c>
      <c r="R241" s="14"/>
      <c r="S241" t="str">
        <f>IF(E241="","",IFERROR(INDEX(tblProductos[STOCK_ACTUAL],MATCH(E241,tblProductos[ITEM],0)),""))</f>
        <v/>
      </c>
    </row>
    <row r="242" spans="1:19" x14ac:dyDescent="0.3">
      <c r="A242" s="40"/>
      <c r="B242" s="14" t="str">
        <f t="shared" si="15"/>
        <v/>
      </c>
      <c r="C242" s="14" t="str">
        <f>IF(D242="","",IFERROR(INDEX(tblClientes[ID],MATCH(D242,tblClientes[NOMBRE],0)),""))</f>
        <v/>
      </c>
      <c r="D242" s="14"/>
      <c r="E242" s="14"/>
      <c r="F242" s="14" t="str">
        <f>IF(E242="","",IFERROR(INDEX(tblProductos[CATEGORIA],MATCH(E242,tblProductos[ITEM],0)),""))</f>
        <v/>
      </c>
      <c r="G242" s="15"/>
      <c r="H242" s="16"/>
      <c r="I242" s="16" t="str">
        <f>IF(E242="","",IFERROR(INDEX(tblProductos[PRECIO_VENTA],MATCH(E242,tblProductos[ITEM],0)),""))</f>
        <v/>
      </c>
      <c r="J242" s="16" t="str">
        <f t="shared" si="16"/>
        <v/>
      </c>
      <c r="K242" s="16" t="str">
        <f t="shared" si="17"/>
        <v/>
      </c>
      <c r="L242" s="16" t="str">
        <f>IF(E242="","",IFERROR(INDEX(tblProductos[COSTO TOTAL],MATCH(E242,tblProductos[ITEM],0)),""))</f>
        <v/>
      </c>
      <c r="M242" s="16" t="str">
        <f t="shared" si="18"/>
        <v/>
      </c>
      <c r="N242" s="16" t="str">
        <f t="shared" si="19"/>
        <v/>
      </c>
      <c r="O242" s="14" t="s">
        <v>34</v>
      </c>
      <c r="P242" s="14" t="s">
        <v>35</v>
      </c>
      <c r="Q242" s="14" t="s">
        <v>36</v>
      </c>
      <c r="R242" s="14"/>
      <c r="S242" t="str">
        <f>IF(E242="","",IFERROR(INDEX(tblProductos[STOCK_ACTUAL],MATCH(E242,tblProductos[ITEM],0)),""))</f>
        <v/>
      </c>
    </row>
    <row r="243" spans="1:19" x14ac:dyDescent="0.3">
      <c r="A243" s="40"/>
      <c r="B243" s="14" t="str">
        <f t="shared" si="15"/>
        <v/>
      </c>
      <c r="C243" s="14" t="str">
        <f>IF(D243="","",IFERROR(INDEX(tblClientes[ID],MATCH(D243,tblClientes[NOMBRE],0)),""))</f>
        <v/>
      </c>
      <c r="D243" s="14"/>
      <c r="E243" s="14"/>
      <c r="F243" s="14" t="str">
        <f>IF(E243="","",IFERROR(INDEX(tblProductos[CATEGORIA],MATCH(E243,tblProductos[ITEM],0)),""))</f>
        <v/>
      </c>
      <c r="G243" s="15"/>
      <c r="H243" s="16"/>
      <c r="I243" s="16" t="str">
        <f>IF(E243="","",IFERROR(INDEX(tblProductos[PRECIO_VENTA],MATCH(E243,tblProductos[ITEM],0)),""))</f>
        <v/>
      </c>
      <c r="J243" s="16" t="str">
        <f t="shared" si="16"/>
        <v/>
      </c>
      <c r="K243" s="16" t="str">
        <f t="shared" si="17"/>
        <v/>
      </c>
      <c r="L243" s="16" t="str">
        <f>IF(E243="","",IFERROR(INDEX(tblProductos[COSTO TOTAL],MATCH(E243,tblProductos[ITEM],0)),""))</f>
        <v/>
      </c>
      <c r="M243" s="16" t="str">
        <f t="shared" si="18"/>
        <v/>
      </c>
      <c r="N243" s="16" t="str">
        <f t="shared" si="19"/>
        <v/>
      </c>
      <c r="O243" s="14" t="s">
        <v>34</v>
      </c>
      <c r="P243" s="14" t="s">
        <v>35</v>
      </c>
      <c r="Q243" s="14" t="s">
        <v>36</v>
      </c>
      <c r="R243" s="14"/>
      <c r="S243" t="str">
        <f>IF(E243="","",IFERROR(INDEX(tblProductos[STOCK_ACTUAL],MATCH(E243,tblProductos[ITEM],0)),""))</f>
        <v/>
      </c>
    </row>
    <row r="244" spans="1:19" x14ac:dyDescent="0.3">
      <c r="A244" s="40"/>
      <c r="B244" s="14" t="str">
        <f t="shared" si="15"/>
        <v/>
      </c>
      <c r="C244" s="14" t="str">
        <f>IF(D244="","",IFERROR(INDEX(tblClientes[ID],MATCH(D244,tblClientes[NOMBRE],0)),""))</f>
        <v/>
      </c>
      <c r="D244" s="14"/>
      <c r="E244" s="14"/>
      <c r="F244" s="14" t="str">
        <f>IF(E244="","",IFERROR(INDEX(tblProductos[CATEGORIA],MATCH(E244,tblProductos[ITEM],0)),""))</f>
        <v/>
      </c>
      <c r="G244" s="15"/>
      <c r="H244" s="16"/>
      <c r="I244" s="16" t="str">
        <f>IF(E244="","",IFERROR(INDEX(tblProductos[PRECIO_VENTA],MATCH(E244,tblProductos[ITEM],0)),""))</f>
        <v/>
      </c>
      <c r="J244" s="16" t="str">
        <f t="shared" si="16"/>
        <v/>
      </c>
      <c r="K244" s="16" t="str">
        <f t="shared" si="17"/>
        <v/>
      </c>
      <c r="L244" s="16" t="str">
        <f>IF(E244="","",IFERROR(INDEX(tblProductos[COSTO TOTAL],MATCH(E244,tblProductos[ITEM],0)),""))</f>
        <v/>
      </c>
      <c r="M244" s="16" t="str">
        <f t="shared" si="18"/>
        <v/>
      </c>
      <c r="N244" s="16" t="str">
        <f t="shared" si="19"/>
        <v/>
      </c>
      <c r="O244" s="14" t="s">
        <v>34</v>
      </c>
      <c r="P244" s="14" t="s">
        <v>35</v>
      </c>
      <c r="Q244" s="14" t="s">
        <v>36</v>
      </c>
      <c r="R244" s="14"/>
      <c r="S244" t="str">
        <f>IF(E244="","",IFERROR(INDEX(tblProductos[STOCK_ACTUAL],MATCH(E244,tblProductos[ITEM],0)),""))</f>
        <v/>
      </c>
    </row>
    <row r="245" spans="1:19" x14ac:dyDescent="0.3">
      <c r="A245" s="40"/>
      <c r="B245" s="14" t="str">
        <f t="shared" si="15"/>
        <v/>
      </c>
      <c r="C245" s="14" t="str">
        <f>IF(D245="","",IFERROR(INDEX(tblClientes[ID],MATCH(D245,tblClientes[NOMBRE],0)),""))</f>
        <v/>
      </c>
      <c r="D245" s="14"/>
      <c r="E245" s="14"/>
      <c r="F245" s="14" t="str">
        <f>IF(E245="","",IFERROR(INDEX(tblProductos[CATEGORIA],MATCH(E245,tblProductos[ITEM],0)),""))</f>
        <v/>
      </c>
      <c r="G245" s="15"/>
      <c r="H245" s="16"/>
      <c r="I245" s="16" t="str">
        <f>IF(E245="","",IFERROR(INDEX(tblProductos[PRECIO_VENTA],MATCH(E245,tblProductos[ITEM],0)),""))</f>
        <v/>
      </c>
      <c r="J245" s="16" t="str">
        <f t="shared" si="16"/>
        <v/>
      </c>
      <c r="K245" s="16" t="str">
        <f t="shared" si="17"/>
        <v/>
      </c>
      <c r="L245" s="16" t="str">
        <f>IF(E245="","",IFERROR(INDEX(tblProductos[COSTO TOTAL],MATCH(E245,tblProductos[ITEM],0)),""))</f>
        <v/>
      </c>
      <c r="M245" s="16" t="str">
        <f t="shared" si="18"/>
        <v/>
      </c>
      <c r="N245" s="16" t="str">
        <f t="shared" si="19"/>
        <v/>
      </c>
      <c r="O245" s="14" t="s">
        <v>34</v>
      </c>
      <c r="P245" s="14" t="s">
        <v>35</v>
      </c>
      <c r="Q245" s="14" t="s">
        <v>36</v>
      </c>
      <c r="R245" s="14"/>
      <c r="S245" t="str">
        <f>IF(E245="","",IFERROR(INDEX(tblProductos[STOCK_ACTUAL],MATCH(E245,tblProductos[ITEM],0)),""))</f>
        <v/>
      </c>
    </row>
    <row r="246" spans="1:19" x14ac:dyDescent="0.3">
      <c r="A246" s="40"/>
      <c r="B246" s="14" t="str">
        <f t="shared" si="15"/>
        <v/>
      </c>
      <c r="C246" s="14" t="str">
        <f>IF(D246="","",IFERROR(INDEX(tblClientes[ID],MATCH(D246,tblClientes[NOMBRE],0)),""))</f>
        <v/>
      </c>
      <c r="D246" s="14"/>
      <c r="E246" s="14"/>
      <c r="F246" s="14" t="str">
        <f>IF(E246="","",IFERROR(INDEX(tblProductos[CATEGORIA],MATCH(E246,tblProductos[ITEM],0)),""))</f>
        <v/>
      </c>
      <c r="G246" s="15"/>
      <c r="H246" s="16"/>
      <c r="I246" s="16" t="str">
        <f>IF(E246="","",IFERROR(INDEX(tblProductos[PRECIO_VENTA],MATCH(E246,tblProductos[ITEM],0)),""))</f>
        <v/>
      </c>
      <c r="J246" s="16" t="str">
        <f t="shared" si="16"/>
        <v/>
      </c>
      <c r="K246" s="16" t="str">
        <f t="shared" si="17"/>
        <v/>
      </c>
      <c r="L246" s="16" t="str">
        <f>IF(E246="","",IFERROR(INDEX(tblProductos[COSTO TOTAL],MATCH(E246,tblProductos[ITEM],0)),""))</f>
        <v/>
      </c>
      <c r="M246" s="16" t="str">
        <f t="shared" si="18"/>
        <v/>
      </c>
      <c r="N246" s="16" t="str">
        <f t="shared" si="19"/>
        <v/>
      </c>
      <c r="O246" s="14" t="s">
        <v>34</v>
      </c>
      <c r="P246" s="14" t="s">
        <v>35</v>
      </c>
      <c r="Q246" s="14" t="s">
        <v>36</v>
      </c>
      <c r="R246" s="14"/>
      <c r="S246" t="str">
        <f>IF(E246="","",IFERROR(INDEX(tblProductos[STOCK_ACTUAL],MATCH(E246,tblProductos[ITEM],0)),""))</f>
        <v/>
      </c>
    </row>
    <row r="247" spans="1:19" x14ac:dyDescent="0.3">
      <c r="A247" s="40"/>
      <c r="B247" s="14" t="str">
        <f t="shared" si="15"/>
        <v/>
      </c>
      <c r="C247" s="14" t="str">
        <f>IF(D247="","",IFERROR(INDEX(tblClientes[ID],MATCH(D247,tblClientes[NOMBRE],0)),""))</f>
        <v/>
      </c>
      <c r="D247" s="14"/>
      <c r="E247" s="14"/>
      <c r="F247" s="14" t="str">
        <f>IF(E247="","",IFERROR(INDEX(tblProductos[CATEGORIA],MATCH(E247,tblProductos[ITEM],0)),""))</f>
        <v/>
      </c>
      <c r="G247" s="15"/>
      <c r="H247" s="16"/>
      <c r="I247" s="16" t="str">
        <f>IF(E247="","",IFERROR(INDEX(tblProductos[PRECIO_VENTA],MATCH(E247,tblProductos[ITEM],0)),""))</f>
        <v/>
      </c>
      <c r="J247" s="16" t="str">
        <f t="shared" si="16"/>
        <v/>
      </c>
      <c r="K247" s="16" t="str">
        <f t="shared" si="17"/>
        <v/>
      </c>
      <c r="L247" s="16" t="str">
        <f>IF(E247="","",IFERROR(INDEX(tblProductos[COSTO TOTAL],MATCH(E247,tblProductos[ITEM],0)),""))</f>
        <v/>
      </c>
      <c r="M247" s="16" t="str">
        <f t="shared" si="18"/>
        <v/>
      </c>
      <c r="N247" s="16" t="str">
        <f t="shared" si="19"/>
        <v/>
      </c>
      <c r="O247" s="14" t="s">
        <v>34</v>
      </c>
      <c r="P247" s="14" t="s">
        <v>35</v>
      </c>
      <c r="Q247" s="14" t="s">
        <v>36</v>
      </c>
      <c r="R247" s="14"/>
      <c r="S247" t="str">
        <f>IF(E247="","",IFERROR(INDEX(tblProductos[STOCK_ACTUAL],MATCH(E247,tblProductos[ITEM],0)),""))</f>
        <v/>
      </c>
    </row>
    <row r="248" spans="1:19" x14ac:dyDescent="0.3">
      <c r="A248" s="40"/>
      <c r="B248" s="14" t="str">
        <f t="shared" si="15"/>
        <v/>
      </c>
      <c r="C248" s="14" t="str">
        <f>IF(D248="","",IFERROR(INDEX(tblClientes[ID],MATCH(D248,tblClientes[NOMBRE],0)),""))</f>
        <v/>
      </c>
      <c r="D248" s="14"/>
      <c r="E248" s="14"/>
      <c r="F248" s="14" t="str">
        <f>IF(E248="","",IFERROR(INDEX(tblProductos[CATEGORIA],MATCH(E248,tblProductos[ITEM],0)),""))</f>
        <v/>
      </c>
      <c r="G248" s="15"/>
      <c r="H248" s="16"/>
      <c r="I248" s="16" t="str">
        <f>IF(E248="","",IFERROR(INDEX(tblProductos[PRECIO_VENTA],MATCH(E248,tblProductos[ITEM],0)),""))</f>
        <v/>
      </c>
      <c r="J248" s="16" t="str">
        <f t="shared" si="16"/>
        <v/>
      </c>
      <c r="K248" s="16" t="str">
        <f t="shared" si="17"/>
        <v/>
      </c>
      <c r="L248" s="16" t="str">
        <f>IF(E248="","",IFERROR(INDEX(tblProductos[COSTO TOTAL],MATCH(E248,tblProductos[ITEM],0)),""))</f>
        <v/>
      </c>
      <c r="M248" s="16" t="str">
        <f t="shared" si="18"/>
        <v/>
      </c>
      <c r="N248" s="16" t="str">
        <f t="shared" si="19"/>
        <v/>
      </c>
      <c r="O248" s="14" t="s">
        <v>34</v>
      </c>
      <c r="P248" s="14" t="s">
        <v>35</v>
      </c>
      <c r="Q248" s="14" t="s">
        <v>36</v>
      </c>
      <c r="R248" s="14"/>
      <c r="S248" t="str">
        <f>IF(E248="","",IFERROR(INDEX(tblProductos[STOCK_ACTUAL],MATCH(E248,tblProductos[ITEM],0)),""))</f>
        <v/>
      </c>
    </row>
    <row r="249" spans="1:19" x14ac:dyDescent="0.3">
      <c r="A249" s="40"/>
      <c r="B249" s="14" t="str">
        <f t="shared" si="15"/>
        <v/>
      </c>
      <c r="C249" s="14" t="str">
        <f>IF(D249="","",IFERROR(INDEX(tblClientes[ID],MATCH(D249,tblClientes[NOMBRE],0)),""))</f>
        <v/>
      </c>
      <c r="D249" s="14"/>
      <c r="E249" s="14"/>
      <c r="F249" s="14" t="str">
        <f>IF(E249="","",IFERROR(INDEX(tblProductos[CATEGORIA],MATCH(E249,tblProductos[ITEM],0)),""))</f>
        <v/>
      </c>
      <c r="G249" s="15"/>
      <c r="H249" s="16"/>
      <c r="I249" s="16" t="str">
        <f>IF(E249="","",IFERROR(INDEX(tblProductos[PRECIO_VENTA],MATCH(E249,tblProductos[ITEM],0)),""))</f>
        <v/>
      </c>
      <c r="J249" s="16" t="str">
        <f t="shared" si="16"/>
        <v/>
      </c>
      <c r="K249" s="16" t="str">
        <f t="shared" si="17"/>
        <v/>
      </c>
      <c r="L249" s="16" t="str">
        <f>IF(E249="","",IFERROR(INDEX(tblProductos[COSTO TOTAL],MATCH(E249,tblProductos[ITEM],0)),""))</f>
        <v/>
      </c>
      <c r="M249" s="16" t="str">
        <f t="shared" si="18"/>
        <v/>
      </c>
      <c r="N249" s="16" t="str">
        <f t="shared" si="19"/>
        <v/>
      </c>
      <c r="O249" s="14" t="s">
        <v>34</v>
      </c>
      <c r="P249" s="14" t="s">
        <v>35</v>
      </c>
      <c r="Q249" s="14" t="s">
        <v>36</v>
      </c>
      <c r="R249" s="14"/>
      <c r="S249" t="str">
        <f>IF(E249="","",IFERROR(INDEX(tblProductos[STOCK_ACTUAL],MATCH(E249,tblProductos[ITEM],0)),""))</f>
        <v/>
      </c>
    </row>
    <row r="250" spans="1:19" x14ac:dyDescent="0.3">
      <c r="A250" s="40"/>
      <c r="B250" s="14" t="str">
        <f t="shared" si="15"/>
        <v/>
      </c>
      <c r="C250" s="14" t="str">
        <f>IF(D250="","",IFERROR(INDEX(tblClientes[ID],MATCH(D250,tblClientes[NOMBRE],0)),""))</f>
        <v/>
      </c>
      <c r="D250" s="14"/>
      <c r="E250" s="14"/>
      <c r="F250" s="14" t="str">
        <f>IF(E250="","",IFERROR(INDEX(tblProductos[CATEGORIA],MATCH(E250,tblProductos[ITEM],0)),""))</f>
        <v/>
      </c>
      <c r="G250" s="15"/>
      <c r="H250" s="16"/>
      <c r="I250" s="16" t="str">
        <f>IF(E250="","",IFERROR(INDEX(tblProductos[PRECIO_VENTA],MATCH(E250,tblProductos[ITEM],0)),""))</f>
        <v/>
      </c>
      <c r="J250" s="16" t="str">
        <f t="shared" si="16"/>
        <v/>
      </c>
      <c r="K250" s="16" t="str">
        <f t="shared" si="17"/>
        <v/>
      </c>
      <c r="L250" s="16" t="str">
        <f>IF(E250="","",IFERROR(INDEX(tblProductos[COSTO TOTAL],MATCH(E250,tblProductos[ITEM],0)),""))</f>
        <v/>
      </c>
      <c r="M250" s="16" t="str">
        <f t="shared" si="18"/>
        <v/>
      </c>
      <c r="N250" s="16" t="str">
        <f t="shared" si="19"/>
        <v/>
      </c>
      <c r="O250" s="14" t="s">
        <v>34</v>
      </c>
      <c r="P250" s="14" t="s">
        <v>35</v>
      </c>
      <c r="Q250" s="14" t="s">
        <v>36</v>
      </c>
      <c r="R250" s="14"/>
      <c r="S250" t="str">
        <f>IF(E250="","",IFERROR(INDEX(tblProductos[STOCK_ACTUAL],MATCH(E250,tblProductos[ITEM],0)),""))</f>
        <v/>
      </c>
    </row>
    <row r="251" spans="1:19" x14ac:dyDescent="0.3">
      <c r="A251" s="40"/>
      <c r="B251" s="14" t="str">
        <f t="shared" si="15"/>
        <v/>
      </c>
      <c r="C251" s="14" t="str">
        <f>IF(D251="","",IFERROR(INDEX(tblClientes[ID],MATCH(D251,tblClientes[NOMBRE],0)),""))</f>
        <v/>
      </c>
      <c r="D251" s="14"/>
      <c r="E251" s="14"/>
      <c r="F251" s="14" t="str">
        <f>IF(E251="","",IFERROR(INDEX(tblProductos[CATEGORIA],MATCH(E251,tblProductos[ITEM],0)),""))</f>
        <v/>
      </c>
      <c r="G251" s="15"/>
      <c r="H251" s="16"/>
      <c r="I251" s="16" t="str">
        <f>IF(E251="","",IFERROR(INDEX(tblProductos[PRECIO_VENTA],MATCH(E251,tblProductos[ITEM],0)),""))</f>
        <v/>
      </c>
      <c r="J251" s="16" t="str">
        <f t="shared" si="16"/>
        <v/>
      </c>
      <c r="K251" s="16" t="str">
        <f t="shared" si="17"/>
        <v/>
      </c>
      <c r="L251" s="16" t="str">
        <f>IF(E251="","",IFERROR(INDEX(tblProductos[COSTO TOTAL],MATCH(E251,tblProductos[ITEM],0)),""))</f>
        <v/>
      </c>
      <c r="M251" s="16" t="str">
        <f t="shared" si="18"/>
        <v/>
      </c>
      <c r="N251" s="16" t="str">
        <f t="shared" si="19"/>
        <v/>
      </c>
      <c r="O251" s="14" t="s">
        <v>34</v>
      </c>
      <c r="P251" s="14" t="s">
        <v>35</v>
      </c>
      <c r="Q251" s="14" t="s">
        <v>36</v>
      </c>
      <c r="R251" s="14"/>
      <c r="S251" t="str">
        <f>IF(E251="","",IFERROR(INDEX(tblProductos[STOCK_ACTUAL],MATCH(E251,tblProductos[ITEM],0)),""))</f>
        <v/>
      </c>
    </row>
    <row r="252" spans="1:19" x14ac:dyDescent="0.3">
      <c r="A252" s="40"/>
      <c r="B252" s="14" t="str">
        <f t="shared" si="15"/>
        <v/>
      </c>
      <c r="C252" s="14" t="str">
        <f>IF(D252="","",IFERROR(INDEX(tblClientes[ID],MATCH(D252,tblClientes[NOMBRE],0)),""))</f>
        <v/>
      </c>
      <c r="D252" s="14"/>
      <c r="E252" s="14"/>
      <c r="F252" s="14" t="str">
        <f>IF(E252="","",IFERROR(INDEX(tblProductos[CATEGORIA],MATCH(E252,tblProductos[ITEM],0)),""))</f>
        <v/>
      </c>
      <c r="G252" s="15"/>
      <c r="H252" s="16"/>
      <c r="I252" s="16" t="str">
        <f>IF(E252="","",IFERROR(INDEX(tblProductos[PRECIO_VENTA],MATCH(E252,tblProductos[ITEM],0)),""))</f>
        <v/>
      </c>
      <c r="J252" s="16" t="str">
        <f t="shared" si="16"/>
        <v/>
      </c>
      <c r="K252" s="16" t="str">
        <f t="shared" si="17"/>
        <v/>
      </c>
      <c r="L252" s="16" t="str">
        <f>IF(E252="","",IFERROR(INDEX(tblProductos[COSTO TOTAL],MATCH(E252,tblProductos[ITEM],0)),""))</f>
        <v/>
      </c>
      <c r="M252" s="16" t="str">
        <f t="shared" si="18"/>
        <v/>
      </c>
      <c r="N252" s="16" t="str">
        <f t="shared" si="19"/>
        <v/>
      </c>
      <c r="O252" s="14" t="s">
        <v>34</v>
      </c>
      <c r="P252" s="14" t="s">
        <v>35</v>
      </c>
      <c r="Q252" s="14" t="s">
        <v>36</v>
      </c>
      <c r="R252" s="14"/>
      <c r="S252" t="str">
        <f>IF(E252="","",IFERROR(INDEX(tblProductos[STOCK_ACTUAL],MATCH(E252,tblProductos[ITEM],0)),""))</f>
        <v/>
      </c>
    </row>
    <row r="253" spans="1:19" x14ac:dyDescent="0.3">
      <c r="A253" s="40"/>
      <c r="B253" s="14" t="str">
        <f t="shared" si="15"/>
        <v/>
      </c>
      <c r="C253" s="14" t="str">
        <f>IF(D253="","",IFERROR(INDEX(tblClientes[ID],MATCH(D253,tblClientes[NOMBRE],0)),""))</f>
        <v/>
      </c>
      <c r="D253" s="14"/>
      <c r="E253" s="14"/>
      <c r="F253" s="14" t="str">
        <f>IF(E253="","",IFERROR(INDEX(tblProductos[CATEGORIA],MATCH(E253,tblProductos[ITEM],0)),""))</f>
        <v/>
      </c>
      <c r="G253" s="15"/>
      <c r="H253" s="16"/>
      <c r="I253" s="16" t="str">
        <f>IF(E253="","",IFERROR(INDEX(tblProductos[PRECIO_VENTA],MATCH(E253,tblProductos[ITEM],0)),""))</f>
        <v/>
      </c>
      <c r="J253" s="16" t="str">
        <f t="shared" si="16"/>
        <v/>
      </c>
      <c r="K253" s="16" t="str">
        <f t="shared" si="17"/>
        <v/>
      </c>
      <c r="L253" s="16" t="str">
        <f>IF(E253="","",IFERROR(INDEX(tblProductos[COSTO TOTAL],MATCH(E253,tblProductos[ITEM],0)),""))</f>
        <v/>
      </c>
      <c r="M253" s="16" t="str">
        <f t="shared" si="18"/>
        <v/>
      </c>
      <c r="N253" s="16" t="str">
        <f t="shared" si="19"/>
        <v/>
      </c>
      <c r="O253" s="14" t="s">
        <v>34</v>
      </c>
      <c r="P253" s="14" t="s">
        <v>35</v>
      </c>
      <c r="Q253" s="14" t="s">
        <v>36</v>
      </c>
      <c r="R253" s="14"/>
      <c r="S253" t="str">
        <f>IF(E253="","",IFERROR(INDEX(tblProductos[STOCK_ACTUAL],MATCH(E253,tblProductos[ITEM],0)),""))</f>
        <v/>
      </c>
    </row>
    <row r="254" spans="1:19" x14ac:dyDescent="0.3">
      <c r="A254" s="40"/>
      <c r="B254" s="14" t="str">
        <f t="shared" si="15"/>
        <v/>
      </c>
      <c r="C254" s="14" t="str">
        <f>IF(D254="","",IFERROR(INDEX(tblClientes[ID],MATCH(D254,tblClientes[NOMBRE],0)),""))</f>
        <v/>
      </c>
      <c r="D254" s="14"/>
      <c r="E254" s="14"/>
      <c r="F254" s="14" t="str">
        <f>IF(E254="","",IFERROR(INDEX(tblProductos[CATEGORIA],MATCH(E254,tblProductos[ITEM],0)),""))</f>
        <v/>
      </c>
      <c r="G254" s="15"/>
      <c r="H254" s="16"/>
      <c r="I254" s="16" t="str">
        <f>IF(E254="","",IFERROR(INDEX(tblProductos[PRECIO_VENTA],MATCH(E254,tblProductos[ITEM],0)),""))</f>
        <v/>
      </c>
      <c r="J254" s="16" t="str">
        <f t="shared" si="16"/>
        <v/>
      </c>
      <c r="K254" s="16" t="str">
        <f t="shared" si="17"/>
        <v/>
      </c>
      <c r="L254" s="16" t="str">
        <f>IF(E254="","",IFERROR(INDEX(tblProductos[COSTO TOTAL],MATCH(E254,tblProductos[ITEM],0)),""))</f>
        <v/>
      </c>
      <c r="M254" s="16" t="str">
        <f t="shared" si="18"/>
        <v/>
      </c>
      <c r="N254" s="16" t="str">
        <f t="shared" si="19"/>
        <v/>
      </c>
      <c r="O254" s="14" t="s">
        <v>34</v>
      </c>
      <c r="P254" s="14" t="s">
        <v>35</v>
      </c>
      <c r="Q254" s="14" t="s">
        <v>36</v>
      </c>
      <c r="R254" s="14"/>
      <c r="S254" t="str">
        <f>IF(E254="","",IFERROR(INDEX(tblProductos[STOCK_ACTUAL],MATCH(E254,tblProductos[ITEM],0)),""))</f>
        <v/>
      </c>
    </row>
    <row r="255" spans="1:19" x14ac:dyDescent="0.3">
      <c r="A255" s="40"/>
      <c r="B255" s="14" t="str">
        <f t="shared" si="15"/>
        <v/>
      </c>
      <c r="C255" s="14" t="str">
        <f>IF(D255="","",IFERROR(INDEX(tblClientes[ID],MATCH(D255,tblClientes[NOMBRE],0)),""))</f>
        <v/>
      </c>
      <c r="D255" s="14"/>
      <c r="E255" s="14"/>
      <c r="F255" s="14" t="str">
        <f>IF(E255="","",IFERROR(INDEX(tblProductos[CATEGORIA],MATCH(E255,tblProductos[ITEM],0)),""))</f>
        <v/>
      </c>
      <c r="G255" s="15"/>
      <c r="H255" s="16"/>
      <c r="I255" s="16" t="str">
        <f>IF(E255="","",IFERROR(INDEX(tblProductos[PRECIO_VENTA],MATCH(E255,tblProductos[ITEM],0)),""))</f>
        <v/>
      </c>
      <c r="J255" s="16" t="str">
        <f t="shared" si="16"/>
        <v/>
      </c>
      <c r="K255" s="16" t="str">
        <f t="shared" si="17"/>
        <v/>
      </c>
      <c r="L255" s="16" t="str">
        <f>IF(E255="","",IFERROR(INDEX(tblProductos[COSTO TOTAL],MATCH(E255,tblProductos[ITEM],0)),""))</f>
        <v/>
      </c>
      <c r="M255" s="16" t="str">
        <f t="shared" si="18"/>
        <v/>
      </c>
      <c r="N255" s="16" t="str">
        <f t="shared" si="19"/>
        <v/>
      </c>
      <c r="O255" s="14" t="s">
        <v>34</v>
      </c>
      <c r="P255" s="14" t="s">
        <v>35</v>
      </c>
      <c r="Q255" s="14" t="s">
        <v>36</v>
      </c>
      <c r="R255" s="14"/>
      <c r="S255" t="str">
        <f>IF(E255="","",IFERROR(INDEX(tblProductos[STOCK_ACTUAL],MATCH(E255,tblProductos[ITEM],0)),""))</f>
        <v/>
      </c>
    </row>
    <row r="256" spans="1:19" x14ac:dyDescent="0.3">
      <c r="A256" s="40"/>
      <c r="B256" s="14" t="str">
        <f t="shared" si="15"/>
        <v/>
      </c>
      <c r="C256" s="14" t="str">
        <f>IF(D256="","",IFERROR(INDEX(tblClientes[ID],MATCH(D256,tblClientes[NOMBRE],0)),""))</f>
        <v/>
      </c>
      <c r="D256" s="14"/>
      <c r="E256" s="14"/>
      <c r="F256" s="14" t="str">
        <f>IF(E256="","",IFERROR(INDEX(tblProductos[CATEGORIA],MATCH(E256,tblProductos[ITEM],0)),""))</f>
        <v/>
      </c>
      <c r="G256" s="15"/>
      <c r="H256" s="16"/>
      <c r="I256" s="16" t="str">
        <f>IF(E256="","",IFERROR(INDEX(tblProductos[PRECIO_VENTA],MATCH(E256,tblProductos[ITEM],0)),""))</f>
        <v/>
      </c>
      <c r="J256" s="16" t="str">
        <f t="shared" si="16"/>
        <v/>
      </c>
      <c r="K256" s="16" t="str">
        <f t="shared" si="17"/>
        <v/>
      </c>
      <c r="L256" s="16" t="str">
        <f>IF(E256="","",IFERROR(INDEX(tblProductos[COSTO TOTAL],MATCH(E256,tblProductos[ITEM],0)),""))</f>
        <v/>
      </c>
      <c r="M256" s="16" t="str">
        <f t="shared" si="18"/>
        <v/>
      </c>
      <c r="N256" s="16" t="str">
        <f t="shared" si="19"/>
        <v/>
      </c>
      <c r="O256" s="14" t="s">
        <v>34</v>
      </c>
      <c r="P256" s="14" t="s">
        <v>35</v>
      </c>
      <c r="Q256" s="14" t="s">
        <v>36</v>
      </c>
      <c r="R256" s="14"/>
      <c r="S256" t="str">
        <f>IF(E256="","",IFERROR(INDEX(tblProductos[STOCK_ACTUAL],MATCH(E256,tblProductos[ITEM],0)),""))</f>
        <v/>
      </c>
    </row>
    <row r="257" spans="1:19" x14ac:dyDescent="0.3">
      <c r="A257" s="40"/>
      <c r="B257" s="14" t="str">
        <f t="shared" si="15"/>
        <v/>
      </c>
      <c r="C257" s="14" t="str">
        <f>IF(D257="","",IFERROR(INDEX(tblClientes[ID],MATCH(D257,tblClientes[NOMBRE],0)),""))</f>
        <v/>
      </c>
      <c r="D257" s="14"/>
      <c r="E257" s="14"/>
      <c r="F257" s="14" t="str">
        <f>IF(E257="","",IFERROR(INDEX(tblProductos[CATEGORIA],MATCH(E257,tblProductos[ITEM],0)),""))</f>
        <v/>
      </c>
      <c r="G257" s="15"/>
      <c r="H257" s="16"/>
      <c r="I257" s="16" t="str">
        <f>IF(E257="","",IFERROR(INDEX(tblProductos[PRECIO_VENTA],MATCH(E257,tblProductos[ITEM],0)),""))</f>
        <v/>
      </c>
      <c r="J257" s="16" t="str">
        <f t="shared" si="16"/>
        <v/>
      </c>
      <c r="K257" s="16" t="str">
        <f t="shared" si="17"/>
        <v/>
      </c>
      <c r="L257" s="16" t="str">
        <f>IF(E257="","",IFERROR(INDEX(tblProductos[COSTO TOTAL],MATCH(E257,tblProductos[ITEM],0)),""))</f>
        <v/>
      </c>
      <c r="M257" s="16" t="str">
        <f t="shared" si="18"/>
        <v/>
      </c>
      <c r="N257" s="16" t="str">
        <f t="shared" si="19"/>
        <v/>
      </c>
      <c r="O257" s="14" t="s">
        <v>34</v>
      </c>
      <c r="P257" s="14" t="s">
        <v>35</v>
      </c>
      <c r="Q257" s="14" t="s">
        <v>36</v>
      </c>
      <c r="R257" s="14"/>
      <c r="S257" t="str">
        <f>IF(E257="","",IFERROR(INDEX(tblProductos[STOCK_ACTUAL],MATCH(E257,tblProductos[ITEM],0)),""))</f>
        <v/>
      </c>
    </row>
    <row r="258" spans="1:19" x14ac:dyDescent="0.3">
      <c r="A258" s="40"/>
      <c r="B258" s="14" t="str">
        <f t="shared" ref="B258:B321" si="20">IF(A258="","", "V"&amp;TEXT(A258,"yymmdd")&amp;"-"&amp;TEXT(ROW()-1,"0000"))</f>
        <v/>
      </c>
      <c r="C258" s="14" t="str">
        <f>IF(D258="","",IFERROR(INDEX(tblClientes[ID],MATCH(D258,tblClientes[NOMBRE],0)),""))</f>
        <v/>
      </c>
      <c r="D258" s="14"/>
      <c r="E258" s="14"/>
      <c r="F258" s="14" t="str">
        <f>IF(E258="","",IFERROR(INDEX(tblProductos[CATEGORIA],MATCH(E258,tblProductos[ITEM],0)),""))</f>
        <v/>
      </c>
      <c r="G258" s="15"/>
      <c r="H258" s="16"/>
      <c r="I258" s="16" t="str">
        <f>IF(E258="","",IFERROR(INDEX(tblProductos[PRECIO_VENTA],MATCH(E258,tblProductos[ITEM],0)),""))</f>
        <v/>
      </c>
      <c r="J258" s="16" t="str">
        <f t="shared" ref="J258:J321" si="21">IF(H258="",I258,H258)</f>
        <v/>
      </c>
      <c r="K258" s="16" t="str">
        <f t="shared" ref="K258:K321" si="22">IF(G258="","",G258*J258)</f>
        <v/>
      </c>
      <c r="L258" s="16" t="str">
        <f>IF(E258="","",IFERROR(INDEX(tblProductos[COSTO TOTAL],MATCH(E258,tblProductos[ITEM],0)),""))</f>
        <v/>
      </c>
      <c r="M258" s="16" t="str">
        <f t="shared" ref="M258:M321" si="23">IF(G258="","",G258*L258)</f>
        <v/>
      </c>
      <c r="N258" s="16" t="str">
        <f t="shared" ref="N258:N321" si="24">IF(K258="","",K258-M258)</f>
        <v/>
      </c>
      <c r="O258" s="14" t="s">
        <v>34</v>
      </c>
      <c r="P258" s="14" t="s">
        <v>35</v>
      </c>
      <c r="Q258" s="14" t="s">
        <v>36</v>
      </c>
      <c r="R258" s="14"/>
      <c r="S258" t="str">
        <f>IF(E258="","",IFERROR(INDEX(tblProductos[STOCK_ACTUAL],MATCH(E258,tblProductos[ITEM],0)),""))</f>
        <v/>
      </c>
    </row>
    <row r="259" spans="1:19" x14ac:dyDescent="0.3">
      <c r="A259" s="40"/>
      <c r="B259" s="14" t="str">
        <f t="shared" si="20"/>
        <v/>
      </c>
      <c r="C259" s="14" t="str">
        <f>IF(D259="","",IFERROR(INDEX(tblClientes[ID],MATCH(D259,tblClientes[NOMBRE],0)),""))</f>
        <v/>
      </c>
      <c r="D259" s="14"/>
      <c r="E259" s="14"/>
      <c r="F259" s="14" t="str">
        <f>IF(E259="","",IFERROR(INDEX(tblProductos[CATEGORIA],MATCH(E259,tblProductos[ITEM],0)),""))</f>
        <v/>
      </c>
      <c r="G259" s="15"/>
      <c r="H259" s="16"/>
      <c r="I259" s="16" t="str">
        <f>IF(E259="","",IFERROR(INDEX(tblProductos[PRECIO_VENTA],MATCH(E259,tblProductos[ITEM],0)),""))</f>
        <v/>
      </c>
      <c r="J259" s="16" t="str">
        <f t="shared" si="21"/>
        <v/>
      </c>
      <c r="K259" s="16" t="str">
        <f t="shared" si="22"/>
        <v/>
      </c>
      <c r="L259" s="16" t="str">
        <f>IF(E259="","",IFERROR(INDEX(tblProductos[COSTO TOTAL],MATCH(E259,tblProductos[ITEM],0)),""))</f>
        <v/>
      </c>
      <c r="M259" s="16" t="str">
        <f t="shared" si="23"/>
        <v/>
      </c>
      <c r="N259" s="16" t="str">
        <f t="shared" si="24"/>
        <v/>
      </c>
      <c r="O259" s="14" t="s">
        <v>34</v>
      </c>
      <c r="P259" s="14" t="s">
        <v>35</v>
      </c>
      <c r="Q259" s="14" t="s">
        <v>36</v>
      </c>
      <c r="R259" s="14"/>
      <c r="S259" t="str">
        <f>IF(E259="","",IFERROR(INDEX(tblProductos[STOCK_ACTUAL],MATCH(E259,tblProductos[ITEM],0)),""))</f>
        <v/>
      </c>
    </row>
    <row r="260" spans="1:19" x14ac:dyDescent="0.3">
      <c r="A260" s="40"/>
      <c r="B260" s="14" t="str">
        <f t="shared" si="20"/>
        <v/>
      </c>
      <c r="C260" s="14" t="str">
        <f>IF(D260="","",IFERROR(INDEX(tblClientes[ID],MATCH(D260,tblClientes[NOMBRE],0)),""))</f>
        <v/>
      </c>
      <c r="D260" s="14"/>
      <c r="E260" s="14"/>
      <c r="F260" s="14" t="str">
        <f>IF(E260="","",IFERROR(INDEX(tblProductos[CATEGORIA],MATCH(E260,tblProductos[ITEM],0)),""))</f>
        <v/>
      </c>
      <c r="G260" s="15"/>
      <c r="H260" s="16"/>
      <c r="I260" s="16" t="str">
        <f>IF(E260="","",IFERROR(INDEX(tblProductos[PRECIO_VENTA],MATCH(E260,tblProductos[ITEM],0)),""))</f>
        <v/>
      </c>
      <c r="J260" s="16" t="str">
        <f t="shared" si="21"/>
        <v/>
      </c>
      <c r="K260" s="16" t="str">
        <f t="shared" si="22"/>
        <v/>
      </c>
      <c r="L260" s="16" t="str">
        <f>IF(E260="","",IFERROR(INDEX(tblProductos[COSTO TOTAL],MATCH(E260,tblProductos[ITEM],0)),""))</f>
        <v/>
      </c>
      <c r="M260" s="16" t="str">
        <f t="shared" si="23"/>
        <v/>
      </c>
      <c r="N260" s="16" t="str">
        <f t="shared" si="24"/>
        <v/>
      </c>
      <c r="O260" s="14" t="s">
        <v>34</v>
      </c>
      <c r="P260" s="14" t="s">
        <v>35</v>
      </c>
      <c r="Q260" s="14" t="s">
        <v>36</v>
      </c>
      <c r="R260" s="14"/>
      <c r="S260" t="str">
        <f>IF(E260="","",IFERROR(INDEX(tblProductos[STOCK_ACTUAL],MATCH(E260,tblProductos[ITEM],0)),""))</f>
        <v/>
      </c>
    </row>
    <row r="261" spans="1:19" x14ac:dyDescent="0.3">
      <c r="A261" s="40"/>
      <c r="B261" s="14" t="str">
        <f t="shared" si="20"/>
        <v/>
      </c>
      <c r="C261" s="14" t="str">
        <f>IF(D261="","",IFERROR(INDEX(tblClientes[ID],MATCH(D261,tblClientes[NOMBRE],0)),""))</f>
        <v/>
      </c>
      <c r="D261" s="14"/>
      <c r="E261" s="14"/>
      <c r="F261" s="14" t="str">
        <f>IF(E261="","",IFERROR(INDEX(tblProductos[CATEGORIA],MATCH(E261,tblProductos[ITEM],0)),""))</f>
        <v/>
      </c>
      <c r="G261" s="15"/>
      <c r="H261" s="16"/>
      <c r="I261" s="16" t="str">
        <f>IF(E261="","",IFERROR(INDEX(tblProductos[PRECIO_VENTA],MATCH(E261,tblProductos[ITEM],0)),""))</f>
        <v/>
      </c>
      <c r="J261" s="16" t="str">
        <f t="shared" si="21"/>
        <v/>
      </c>
      <c r="K261" s="16" t="str">
        <f t="shared" si="22"/>
        <v/>
      </c>
      <c r="L261" s="16" t="str">
        <f>IF(E261="","",IFERROR(INDEX(tblProductos[COSTO TOTAL],MATCH(E261,tblProductos[ITEM],0)),""))</f>
        <v/>
      </c>
      <c r="M261" s="16" t="str">
        <f t="shared" si="23"/>
        <v/>
      </c>
      <c r="N261" s="16" t="str">
        <f t="shared" si="24"/>
        <v/>
      </c>
      <c r="O261" s="14" t="s">
        <v>34</v>
      </c>
      <c r="P261" s="14" t="s">
        <v>35</v>
      </c>
      <c r="Q261" s="14" t="s">
        <v>36</v>
      </c>
      <c r="R261" s="14"/>
      <c r="S261" t="str">
        <f>IF(E261="","",IFERROR(INDEX(tblProductos[STOCK_ACTUAL],MATCH(E261,tblProductos[ITEM],0)),""))</f>
        <v/>
      </c>
    </row>
    <row r="262" spans="1:19" x14ac:dyDescent="0.3">
      <c r="A262" s="40"/>
      <c r="B262" s="14" t="str">
        <f t="shared" si="20"/>
        <v/>
      </c>
      <c r="C262" s="14" t="str">
        <f>IF(D262="","",IFERROR(INDEX(tblClientes[ID],MATCH(D262,tblClientes[NOMBRE],0)),""))</f>
        <v/>
      </c>
      <c r="D262" s="14"/>
      <c r="E262" s="14"/>
      <c r="F262" s="14" t="str">
        <f>IF(E262="","",IFERROR(INDEX(tblProductos[CATEGORIA],MATCH(E262,tblProductos[ITEM],0)),""))</f>
        <v/>
      </c>
      <c r="G262" s="15"/>
      <c r="H262" s="16"/>
      <c r="I262" s="16" t="str">
        <f>IF(E262="","",IFERROR(INDEX(tblProductos[PRECIO_VENTA],MATCH(E262,tblProductos[ITEM],0)),""))</f>
        <v/>
      </c>
      <c r="J262" s="16" t="str">
        <f t="shared" si="21"/>
        <v/>
      </c>
      <c r="K262" s="16" t="str">
        <f t="shared" si="22"/>
        <v/>
      </c>
      <c r="L262" s="16" t="str">
        <f>IF(E262="","",IFERROR(INDEX(tblProductos[COSTO TOTAL],MATCH(E262,tblProductos[ITEM],0)),""))</f>
        <v/>
      </c>
      <c r="M262" s="16" t="str">
        <f t="shared" si="23"/>
        <v/>
      </c>
      <c r="N262" s="16" t="str">
        <f t="shared" si="24"/>
        <v/>
      </c>
      <c r="O262" s="14" t="s">
        <v>34</v>
      </c>
      <c r="P262" s="14" t="s">
        <v>35</v>
      </c>
      <c r="Q262" s="14" t="s">
        <v>36</v>
      </c>
      <c r="R262" s="14"/>
      <c r="S262" t="str">
        <f>IF(E262="","",IFERROR(INDEX(tblProductos[STOCK_ACTUAL],MATCH(E262,tblProductos[ITEM],0)),""))</f>
        <v/>
      </c>
    </row>
    <row r="263" spans="1:19" x14ac:dyDescent="0.3">
      <c r="A263" s="40"/>
      <c r="B263" s="14" t="str">
        <f t="shared" si="20"/>
        <v/>
      </c>
      <c r="C263" s="14" t="str">
        <f>IF(D263="","",IFERROR(INDEX(tblClientes[ID],MATCH(D263,tblClientes[NOMBRE],0)),""))</f>
        <v/>
      </c>
      <c r="D263" s="14"/>
      <c r="E263" s="14"/>
      <c r="F263" s="14" t="str">
        <f>IF(E263="","",IFERROR(INDEX(tblProductos[CATEGORIA],MATCH(E263,tblProductos[ITEM],0)),""))</f>
        <v/>
      </c>
      <c r="G263" s="15"/>
      <c r="H263" s="16"/>
      <c r="I263" s="16" t="str">
        <f>IF(E263="","",IFERROR(INDEX(tblProductos[PRECIO_VENTA],MATCH(E263,tblProductos[ITEM],0)),""))</f>
        <v/>
      </c>
      <c r="J263" s="16" t="str">
        <f t="shared" si="21"/>
        <v/>
      </c>
      <c r="K263" s="16" t="str">
        <f t="shared" si="22"/>
        <v/>
      </c>
      <c r="L263" s="16" t="str">
        <f>IF(E263="","",IFERROR(INDEX(tblProductos[COSTO TOTAL],MATCH(E263,tblProductos[ITEM],0)),""))</f>
        <v/>
      </c>
      <c r="M263" s="16" t="str">
        <f t="shared" si="23"/>
        <v/>
      </c>
      <c r="N263" s="16" t="str">
        <f t="shared" si="24"/>
        <v/>
      </c>
      <c r="O263" s="14" t="s">
        <v>34</v>
      </c>
      <c r="P263" s="14" t="s">
        <v>35</v>
      </c>
      <c r="Q263" s="14" t="s">
        <v>36</v>
      </c>
      <c r="R263" s="14"/>
      <c r="S263" t="str">
        <f>IF(E263="","",IFERROR(INDEX(tblProductos[STOCK_ACTUAL],MATCH(E263,tblProductos[ITEM],0)),""))</f>
        <v/>
      </c>
    </row>
    <row r="264" spans="1:19" x14ac:dyDescent="0.3">
      <c r="A264" s="40"/>
      <c r="B264" s="14" t="str">
        <f t="shared" si="20"/>
        <v/>
      </c>
      <c r="C264" s="14" t="str">
        <f>IF(D264="","",IFERROR(INDEX(tblClientes[ID],MATCH(D264,tblClientes[NOMBRE],0)),""))</f>
        <v/>
      </c>
      <c r="D264" s="14"/>
      <c r="E264" s="14"/>
      <c r="F264" s="14" t="str">
        <f>IF(E264="","",IFERROR(INDEX(tblProductos[CATEGORIA],MATCH(E264,tblProductos[ITEM],0)),""))</f>
        <v/>
      </c>
      <c r="G264" s="15"/>
      <c r="H264" s="16"/>
      <c r="I264" s="16" t="str">
        <f>IF(E264="","",IFERROR(INDEX(tblProductos[PRECIO_VENTA],MATCH(E264,tblProductos[ITEM],0)),""))</f>
        <v/>
      </c>
      <c r="J264" s="16" t="str">
        <f t="shared" si="21"/>
        <v/>
      </c>
      <c r="K264" s="16" t="str">
        <f t="shared" si="22"/>
        <v/>
      </c>
      <c r="L264" s="16" t="str">
        <f>IF(E264="","",IFERROR(INDEX(tblProductos[COSTO TOTAL],MATCH(E264,tblProductos[ITEM],0)),""))</f>
        <v/>
      </c>
      <c r="M264" s="16" t="str">
        <f t="shared" si="23"/>
        <v/>
      </c>
      <c r="N264" s="16" t="str">
        <f t="shared" si="24"/>
        <v/>
      </c>
      <c r="O264" s="14" t="s">
        <v>34</v>
      </c>
      <c r="P264" s="14" t="s">
        <v>35</v>
      </c>
      <c r="Q264" s="14" t="s">
        <v>36</v>
      </c>
      <c r="R264" s="14"/>
      <c r="S264" t="str">
        <f>IF(E264="","",IFERROR(INDEX(tblProductos[STOCK_ACTUAL],MATCH(E264,tblProductos[ITEM],0)),""))</f>
        <v/>
      </c>
    </row>
    <row r="265" spans="1:19" x14ac:dyDescent="0.3">
      <c r="A265" s="40"/>
      <c r="B265" s="14" t="str">
        <f t="shared" si="20"/>
        <v/>
      </c>
      <c r="C265" s="14" t="str">
        <f>IF(D265="","",IFERROR(INDEX(tblClientes[ID],MATCH(D265,tblClientes[NOMBRE],0)),""))</f>
        <v/>
      </c>
      <c r="D265" s="14"/>
      <c r="E265" s="14"/>
      <c r="F265" s="14" t="str">
        <f>IF(E265="","",IFERROR(INDEX(tblProductos[CATEGORIA],MATCH(E265,tblProductos[ITEM],0)),""))</f>
        <v/>
      </c>
      <c r="G265" s="15"/>
      <c r="H265" s="16"/>
      <c r="I265" s="16" t="str">
        <f>IF(E265="","",IFERROR(INDEX(tblProductos[PRECIO_VENTA],MATCH(E265,tblProductos[ITEM],0)),""))</f>
        <v/>
      </c>
      <c r="J265" s="16" t="str">
        <f t="shared" si="21"/>
        <v/>
      </c>
      <c r="K265" s="16" t="str">
        <f t="shared" si="22"/>
        <v/>
      </c>
      <c r="L265" s="16" t="str">
        <f>IF(E265="","",IFERROR(INDEX(tblProductos[COSTO TOTAL],MATCH(E265,tblProductos[ITEM],0)),""))</f>
        <v/>
      </c>
      <c r="M265" s="16" t="str">
        <f t="shared" si="23"/>
        <v/>
      </c>
      <c r="N265" s="16" t="str">
        <f t="shared" si="24"/>
        <v/>
      </c>
      <c r="O265" s="14" t="s">
        <v>34</v>
      </c>
      <c r="P265" s="14" t="s">
        <v>35</v>
      </c>
      <c r="Q265" s="14" t="s">
        <v>36</v>
      </c>
      <c r="R265" s="14"/>
      <c r="S265" t="str">
        <f>IF(E265="","",IFERROR(INDEX(tblProductos[STOCK_ACTUAL],MATCH(E265,tblProductos[ITEM],0)),""))</f>
        <v/>
      </c>
    </row>
    <row r="266" spans="1:19" x14ac:dyDescent="0.3">
      <c r="A266" s="40"/>
      <c r="B266" s="14" t="str">
        <f t="shared" si="20"/>
        <v/>
      </c>
      <c r="C266" s="14" t="str">
        <f>IF(D266="","",IFERROR(INDEX(tblClientes[ID],MATCH(D266,tblClientes[NOMBRE],0)),""))</f>
        <v/>
      </c>
      <c r="D266" s="14"/>
      <c r="E266" s="14"/>
      <c r="F266" s="14" t="str">
        <f>IF(E266="","",IFERROR(INDEX(tblProductos[CATEGORIA],MATCH(E266,tblProductos[ITEM],0)),""))</f>
        <v/>
      </c>
      <c r="G266" s="15"/>
      <c r="H266" s="16"/>
      <c r="I266" s="16" t="str">
        <f>IF(E266="","",IFERROR(INDEX(tblProductos[PRECIO_VENTA],MATCH(E266,tblProductos[ITEM],0)),""))</f>
        <v/>
      </c>
      <c r="J266" s="16" t="str">
        <f t="shared" si="21"/>
        <v/>
      </c>
      <c r="K266" s="16" t="str">
        <f t="shared" si="22"/>
        <v/>
      </c>
      <c r="L266" s="16" t="str">
        <f>IF(E266="","",IFERROR(INDEX(tblProductos[COSTO TOTAL],MATCH(E266,tblProductos[ITEM],0)),""))</f>
        <v/>
      </c>
      <c r="M266" s="16" t="str">
        <f t="shared" si="23"/>
        <v/>
      </c>
      <c r="N266" s="16" t="str">
        <f t="shared" si="24"/>
        <v/>
      </c>
      <c r="O266" s="14" t="s">
        <v>34</v>
      </c>
      <c r="P266" s="14" t="s">
        <v>35</v>
      </c>
      <c r="Q266" s="14" t="s">
        <v>36</v>
      </c>
      <c r="R266" s="14"/>
      <c r="S266" t="str">
        <f>IF(E266="","",IFERROR(INDEX(tblProductos[STOCK_ACTUAL],MATCH(E266,tblProductos[ITEM],0)),""))</f>
        <v/>
      </c>
    </row>
    <row r="267" spans="1:19" x14ac:dyDescent="0.3">
      <c r="A267" s="40"/>
      <c r="B267" s="14" t="str">
        <f t="shared" si="20"/>
        <v/>
      </c>
      <c r="C267" s="14" t="str">
        <f>IF(D267="","",IFERROR(INDEX(tblClientes[ID],MATCH(D267,tblClientes[NOMBRE],0)),""))</f>
        <v/>
      </c>
      <c r="D267" s="14"/>
      <c r="E267" s="14"/>
      <c r="F267" s="14" t="str">
        <f>IF(E267="","",IFERROR(INDEX(tblProductos[CATEGORIA],MATCH(E267,tblProductos[ITEM],0)),""))</f>
        <v/>
      </c>
      <c r="G267" s="15"/>
      <c r="H267" s="16"/>
      <c r="I267" s="16" t="str">
        <f>IF(E267="","",IFERROR(INDEX(tblProductos[PRECIO_VENTA],MATCH(E267,tblProductos[ITEM],0)),""))</f>
        <v/>
      </c>
      <c r="J267" s="16" t="str">
        <f t="shared" si="21"/>
        <v/>
      </c>
      <c r="K267" s="16" t="str">
        <f t="shared" si="22"/>
        <v/>
      </c>
      <c r="L267" s="16" t="str">
        <f>IF(E267="","",IFERROR(INDEX(tblProductos[COSTO TOTAL],MATCH(E267,tblProductos[ITEM],0)),""))</f>
        <v/>
      </c>
      <c r="M267" s="16" t="str">
        <f t="shared" si="23"/>
        <v/>
      </c>
      <c r="N267" s="16" t="str">
        <f t="shared" si="24"/>
        <v/>
      </c>
      <c r="O267" s="14" t="s">
        <v>34</v>
      </c>
      <c r="P267" s="14" t="s">
        <v>35</v>
      </c>
      <c r="Q267" s="14" t="s">
        <v>36</v>
      </c>
      <c r="R267" s="14"/>
      <c r="S267" t="str">
        <f>IF(E267="","",IFERROR(INDEX(tblProductos[STOCK_ACTUAL],MATCH(E267,tblProductos[ITEM],0)),""))</f>
        <v/>
      </c>
    </row>
    <row r="268" spans="1:19" x14ac:dyDescent="0.3">
      <c r="A268" s="40"/>
      <c r="B268" s="14" t="str">
        <f t="shared" si="20"/>
        <v/>
      </c>
      <c r="C268" s="14" t="str">
        <f>IF(D268="","",IFERROR(INDEX(tblClientes[ID],MATCH(D268,tblClientes[NOMBRE],0)),""))</f>
        <v/>
      </c>
      <c r="D268" s="14"/>
      <c r="E268" s="14"/>
      <c r="F268" s="14" t="str">
        <f>IF(E268="","",IFERROR(INDEX(tblProductos[CATEGORIA],MATCH(E268,tblProductos[ITEM],0)),""))</f>
        <v/>
      </c>
      <c r="G268" s="15"/>
      <c r="H268" s="16"/>
      <c r="I268" s="16" t="str">
        <f>IF(E268="","",IFERROR(INDEX(tblProductos[PRECIO_VENTA],MATCH(E268,tblProductos[ITEM],0)),""))</f>
        <v/>
      </c>
      <c r="J268" s="16" t="str">
        <f t="shared" si="21"/>
        <v/>
      </c>
      <c r="K268" s="16" t="str">
        <f t="shared" si="22"/>
        <v/>
      </c>
      <c r="L268" s="16" t="str">
        <f>IF(E268="","",IFERROR(INDEX(tblProductos[COSTO TOTAL],MATCH(E268,tblProductos[ITEM],0)),""))</f>
        <v/>
      </c>
      <c r="M268" s="16" t="str">
        <f t="shared" si="23"/>
        <v/>
      </c>
      <c r="N268" s="16" t="str">
        <f t="shared" si="24"/>
        <v/>
      </c>
      <c r="O268" s="14" t="s">
        <v>34</v>
      </c>
      <c r="P268" s="14" t="s">
        <v>35</v>
      </c>
      <c r="Q268" s="14" t="s">
        <v>36</v>
      </c>
      <c r="R268" s="14"/>
      <c r="S268" t="str">
        <f>IF(E268="","",IFERROR(INDEX(tblProductos[STOCK_ACTUAL],MATCH(E268,tblProductos[ITEM],0)),""))</f>
        <v/>
      </c>
    </row>
    <row r="269" spans="1:19" x14ac:dyDescent="0.3">
      <c r="A269" s="40"/>
      <c r="B269" s="14" t="str">
        <f t="shared" si="20"/>
        <v/>
      </c>
      <c r="C269" s="14" t="str">
        <f>IF(D269="","",IFERROR(INDEX(tblClientes[ID],MATCH(D269,tblClientes[NOMBRE],0)),""))</f>
        <v/>
      </c>
      <c r="D269" s="14"/>
      <c r="E269" s="14"/>
      <c r="F269" s="14" t="str">
        <f>IF(E269="","",IFERROR(INDEX(tblProductos[CATEGORIA],MATCH(E269,tblProductos[ITEM],0)),""))</f>
        <v/>
      </c>
      <c r="G269" s="15"/>
      <c r="H269" s="16"/>
      <c r="I269" s="16" t="str">
        <f>IF(E269="","",IFERROR(INDEX(tblProductos[PRECIO_VENTA],MATCH(E269,tblProductos[ITEM],0)),""))</f>
        <v/>
      </c>
      <c r="J269" s="16" t="str">
        <f t="shared" si="21"/>
        <v/>
      </c>
      <c r="K269" s="16" t="str">
        <f t="shared" si="22"/>
        <v/>
      </c>
      <c r="L269" s="16" t="str">
        <f>IF(E269="","",IFERROR(INDEX(tblProductos[COSTO TOTAL],MATCH(E269,tblProductos[ITEM],0)),""))</f>
        <v/>
      </c>
      <c r="M269" s="16" t="str">
        <f t="shared" si="23"/>
        <v/>
      </c>
      <c r="N269" s="16" t="str">
        <f t="shared" si="24"/>
        <v/>
      </c>
      <c r="O269" s="14" t="s">
        <v>34</v>
      </c>
      <c r="P269" s="14" t="s">
        <v>35</v>
      </c>
      <c r="Q269" s="14" t="s">
        <v>36</v>
      </c>
      <c r="R269" s="14"/>
      <c r="S269" t="str">
        <f>IF(E269="","",IFERROR(INDEX(tblProductos[STOCK_ACTUAL],MATCH(E269,tblProductos[ITEM],0)),""))</f>
        <v/>
      </c>
    </row>
    <row r="270" spans="1:19" x14ac:dyDescent="0.3">
      <c r="A270" s="40"/>
      <c r="B270" s="14" t="str">
        <f t="shared" si="20"/>
        <v/>
      </c>
      <c r="C270" s="14" t="str">
        <f>IF(D270="","",IFERROR(INDEX(tblClientes[ID],MATCH(D270,tblClientes[NOMBRE],0)),""))</f>
        <v/>
      </c>
      <c r="D270" s="14"/>
      <c r="E270" s="14"/>
      <c r="F270" s="14" t="str">
        <f>IF(E270="","",IFERROR(INDEX(tblProductos[CATEGORIA],MATCH(E270,tblProductos[ITEM],0)),""))</f>
        <v/>
      </c>
      <c r="G270" s="15"/>
      <c r="H270" s="16"/>
      <c r="I270" s="16" t="str">
        <f>IF(E270="","",IFERROR(INDEX(tblProductos[PRECIO_VENTA],MATCH(E270,tblProductos[ITEM],0)),""))</f>
        <v/>
      </c>
      <c r="J270" s="16" t="str">
        <f t="shared" si="21"/>
        <v/>
      </c>
      <c r="K270" s="16" t="str">
        <f t="shared" si="22"/>
        <v/>
      </c>
      <c r="L270" s="16" t="str">
        <f>IF(E270="","",IFERROR(INDEX(tblProductos[COSTO TOTAL],MATCH(E270,tblProductos[ITEM],0)),""))</f>
        <v/>
      </c>
      <c r="M270" s="16" t="str">
        <f t="shared" si="23"/>
        <v/>
      </c>
      <c r="N270" s="16" t="str">
        <f t="shared" si="24"/>
        <v/>
      </c>
      <c r="O270" s="14" t="s">
        <v>34</v>
      </c>
      <c r="P270" s="14" t="s">
        <v>35</v>
      </c>
      <c r="Q270" s="14" t="s">
        <v>36</v>
      </c>
      <c r="R270" s="14"/>
      <c r="S270" t="str">
        <f>IF(E270="","",IFERROR(INDEX(tblProductos[STOCK_ACTUAL],MATCH(E270,tblProductos[ITEM],0)),""))</f>
        <v/>
      </c>
    </row>
    <row r="271" spans="1:19" x14ac:dyDescent="0.3">
      <c r="A271" s="40"/>
      <c r="B271" s="14" t="str">
        <f t="shared" si="20"/>
        <v/>
      </c>
      <c r="C271" s="14" t="str">
        <f>IF(D271="","",IFERROR(INDEX(tblClientes[ID],MATCH(D271,tblClientes[NOMBRE],0)),""))</f>
        <v/>
      </c>
      <c r="D271" s="14"/>
      <c r="E271" s="14"/>
      <c r="F271" s="14" t="str">
        <f>IF(E271="","",IFERROR(INDEX(tblProductos[CATEGORIA],MATCH(E271,tblProductos[ITEM],0)),""))</f>
        <v/>
      </c>
      <c r="G271" s="15"/>
      <c r="H271" s="16"/>
      <c r="I271" s="16" t="str">
        <f>IF(E271="","",IFERROR(INDEX(tblProductos[PRECIO_VENTA],MATCH(E271,tblProductos[ITEM],0)),""))</f>
        <v/>
      </c>
      <c r="J271" s="16" t="str">
        <f t="shared" si="21"/>
        <v/>
      </c>
      <c r="K271" s="16" t="str">
        <f t="shared" si="22"/>
        <v/>
      </c>
      <c r="L271" s="16" t="str">
        <f>IF(E271="","",IFERROR(INDEX(tblProductos[COSTO TOTAL],MATCH(E271,tblProductos[ITEM],0)),""))</f>
        <v/>
      </c>
      <c r="M271" s="16" t="str">
        <f t="shared" si="23"/>
        <v/>
      </c>
      <c r="N271" s="16" t="str">
        <f t="shared" si="24"/>
        <v/>
      </c>
      <c r="O271" s="14" t="s">
        <v>34</v>
      </c>
      <c r="P271" s="14" t="s">
        <v>35</v>
      </c>
      <c r="Q271" s="14" t="s">
        <v>36</v>
      </c>
      <c r="R271" s="14"/>
      <c r="S271" t="str">
        <f>IF(E271="","",IFERROR(INDEX(tblProductos[STOCK_ACTUAL],MATCH(E271,tblProductos[ITEM],0)),""))</f>
        <v/>
      </c>
    </row>
    <row r="272" spans="1:19" x14ac:dyDescent="0.3">
      <c r="A272" s="40"/>
      <c r="B272" s="14" t="str">
        <f t="shared" si="20"/>
        <v/>
      </c>
      <c r="C272" s="14" t="str">
        <f>IF(D272="","",IFERROR(INDEX(tblClientes[ID],MATCH(D272,tblClientes[NOMBRE],0)),""))</f>
        <v/>
      </c>
      <c r="D272" s="14"/>
      <c r="E272" s="14"/>
      <c r="F272" s="14" t="str">
        <f>IF(E272="","",IFERROR(INDEX(tblProductos[CATEGORIA],MATCH(E272,tblProductos[ITEM],0)),""))</f>
        <v/>
      </c>
      <c r="G272" s="15"/>
      <c r="H272" s="16"/>
      <c r="I272" s="16" t="str">
        <f>IF(E272="","",IFERROR(INDEX(tblProductos[PRECIO_VENTA],MATCH(E272,tblProductos[ITEM],0)),""))</f>
        <v/>
      </c>
      <c r="J272" s="16" t="str">
        <f t="shared" si="21"/>
        <v/>
      </c>
      <c r="K272" s="16" t="str">
        <f t="shared" si="22"/>
        <v/>
      </c>
      <c r="L272" s="16" t="str">
        <f>IF(E272="","",IFERROR(INDEX(tblProductos[COSTO TOTAL],MATCH(E272,tblProductos[ITEM],0)),""))</f>
        <v/>
      </c>
      <c r="M272" s="16" t="str">
        <f t="shared" si="23"/>
        <v/>
      </c>
      <c r="N272" s="16" t="str">
        <f t="shared" si="24"/>
        <v/>
      </c>
      <c r="O272" s="14" t="s">
        <v>34</v>
      </c>
      <c r="P272" s="14" t="s">
        <v>35</v>
      </c>
      <c r="Q272" s="14" t="s">
        <v>36</v>
      </c>
      <c r="R272" s="14"/>
      <c r="S272" t="str">
        <f>IF(E272="","",IFERROR(INDEX(tblProductos[STOCK_ACTUAL],MATCH(E272,tblProductos[ITEM],0)),""))</f>
        <v/>
      </c>
    </row>
    <row r="273" spans="1:19" x14ac:dyDescent="0.3">
      <c r="A273" s="40"/>
      <c r="B273" s="14" t="str">
        <f t="shared" si="20"/>
        <v/>
      </c>
      <c r="C273" s="14" t="str">
        <f>IF(D273="","",IFERROR(INDEX(tblClientes[ID],MATCH(D273,tblClientes[NOMBRE],0)),""))</f>
        <v/>
      </c>
      <c r="D273" s="14"/>
      <c r="E273" s="14"/>
      <c r="F273" s="14" t="str">
        <f>IF(E273="","",IFERROR(INDEX(tblProductos[CATEGORIA],MATCH(E273,tblProductos[ITEM],0)),""))</f>
        <v/>
      </c>
      <c r="G273" s="15"/>
      <c r="H273" s="16"/>
      <c r="I273" s="16" t="str">
        <f>IF(E273="","",IFERROR(INDEX(tblProductos[PRECIO_VENTA],MATCH(E273,tblProductos[ITEM],0)),""))</f>
        <v/>
      </c>
      <c r="J273" s="16" t="str">
        <f t="shared" si="21"/>
        <v/>
      </c>
      <c r="K273" s="16" t="str">
        <f t="shared" si="22"/>
        <v/>
      </c>
      <c r="L273" s="16" t="str">
        <f>IF(E273="","",IFERROR(INDEX(tblProductos[COSTO TOTAL],MATCH(E273,tblProductos[ITEM],0)),""))</f>
        <v/>
      </c>
      <c r="M273" s="16" t="str">
        <f t="shared" si="23"/>
        <v/>
      </c>
      <c r="N273" s="16" t="str">
        <f t="shared" si="24"/>
        <v/>
      </c>
      <c r="O273" s="14" t="s">
        <v>34</v>
      </c>
      <c r="P273" s="14" t="s">
        <v>35</v>
      </c>
      <c r="Q273" s="14" t="s">
        <v>36</v>
      </c>
      <c r="R273" s="14"/>
      <c r="S273" t="str">
        <f>IF(E273="","",IFERROR(INDEX(tblProductos[STOCK_ACTUAL],MATCH(E273,tblProductos[ITEM],0)),""))</f>
        <v/>
      </c>
    </row>
    <row r="274" spans="1:19" x14ac:dyDescent="0.3">
      <c r="A274" s="40"/>
      <c r="B274" s="14" t="str">
        <f t="shared" si="20"/>
        <v/>
      </c>
      <c r="C274" s="14" t="str">
        <f>IF(D274="","",IFERROR(INDEX(tblClientes[ID],MATCH(D274,tblClientes[NOMBRE],0)),""))</f>
        <v/>
      </c>
      <c r="D274" s="14"/>
      <c r="E274" s="14"/>
      <c r="F274" s="14" t="str">
        <f>IF(E274="","",IFERROR(INDEX(tblProductos[CATEGORIA],MATCH(E274,tblProductos[ITEM],0)),""))</f>
        <v/>
      </c>
      <c r="G274" s="15"/>
      <c r="H274" s="16"/>
      <c r="I274" s="16" t="str">
        <f>IF(E274="","",IFERROR(INDEX(tblProductos[PRECIO_VENTA],MATCH(E274,tblProductos[ITEM],0)),""))</f>
        <v/>
      </c>
      <c r="J274" s="16" t="str">
        <f t="shared" si="21"/>
        <v/>
      </c>
      <c r="K274" s="16" t="str">
        <f t="shared" si="22"/>
        <v/>
      </c>
      <c r="L274" s="16" t="str">
        <f>IF(E274="","",IFERROR(INDEX(tblProductos[COSTO TOTAL],MATCH(E274,tblProductos[ITEM],0)),""))</f>
        <v/>
      </c>
      <c r="M274" s="16" t="str">
        <f t="shared" si="23"/>
        <v/>
      </c>
      <c r="N274" s="16" t="str">
        <f t="shared" si="24"/>
        <v/>
      </c>
      <c r="O274" s="14" t="s">
        <v>34</v>
      </c>
      <c r="P274" s="14" t="s">
        <v>35</v>
      </c>
      <c r="Q274" s="14" t="s">
        <v>36</v>
      </c>
      <c r="R274" s="14"/>
      <c r="S274" t="str">
        <f>IF(E274="","",IFERROR(INDEX(tblProductos[STOCK_ACTUAL],MATCH(E274,tblProductos[ITEM],0)),""))</f>
        <v/>
      </c>
    </row>
    <row r="275" spans="1:19" x14ac:dyDescent="0.3">
      <c r="A275" s="40"/>
      <c r="B275" s="14" t="str">
        <f t="shared" si="20"/>
        <v/>
      </c>
      <c r="C275" s="14" t="str">
        <f>IF(D275="","",IFERROR(INDEX(tblClientes[ID],MATCH(D275,tblClientes[NOMBRE],0)),""))</f>
        <v/>
      </c>
      <c r="D275" s="14"/>
      <c r="E275" s="14"/>
      <c r="F275" s="14" t="str">
        <f>IF(E275="","",IFERROR(INDEX(tblProductos[CATEGORIA],MATCH(E275,tblProductos[ITEM],0)),""))</f>
        <v/>
      </c>
      <c r="G275" s="15"/>
      <c r="H275" s="16"/>
      <c r="I275" s="16" t="str">
        <f>IF(E275="","",IFERROR(INDEX(tblProductos[PRECIO_VENTA],MATCH(E275,tblProductos[ITEM],0)),""))</f>
        <v/>
      </c>
      <c r="J275" s="16" t="str">
        <f t="shared" si="21"/>
        <v/>
      </c>
      <c r="K275" s="16" t="str">
        <f t="shared" si="22"/>
        <v/>
      </c>
      <c r="L275" s="16" t="str">
        <f>IF(E275="","",IFERROR(INDEX(tblProductos[COSTO TOTAL],MATCH(E275,tblProductos[ITEM],0)),""))</f>
        <v/>
      </c>
      <c r="M275" s="16" t="str">
        <f t="shared" si="23"/>
        <v/>
      </c>
      <c r="N275" s="16" t="str">
        <f t="shared" si="24"/>
        <v/>
      </c>
      <c r="O275" s="14" t="s">
        <v>34</v>
      </c>
      <c r="P275" s="14" t="s">
        <v>35</v>
      </c>
      <c r="Q275" s="14" t="s">
        <v>36</v>
      </c>
      <c r="R275" s="14"/>
      <c r="S275" t="str">
        <f>IF(E275="","",IFERROR(INDEX(tblProductos[STOCK_ACTUAL],MATCH(E275,tblProductos[ITEM],0)),""))</f>
        <v/>
      </c>
    </row>
    <row r="276" spans="1:19" x14ac:dyDescent="0.3">
      <c r="A276" s="40"/>
      <c r="B276" s="14" t="str">
        <f t="shared" si="20"/>
        <v/>
      </c>
      <c r="C276" s="14" t="str">
        <f>IF(D276="","",IFERROR(INDEX(tblClientes[ID],MATCH(D276,tblClientes[NOMBRE],0)),""))</f>
        <v/>
      </c>
      <c r="D276" s="14"/>
      <c r="E276" s="14"/>
      <c r="F276" s="14" t="str">
        <f>IF(E276="","",IFERROR(INDEX(tblProductos[CATEGORIA],MATCH(E276,tblProductos[ITEM],0)),""))</f>
        <v/>
      </c>
      <c r="G276" s="15"/>
      <c r="H276" s="16"/>
      <c r="I276" s="16" t="str">
        <f>IF(E276="","",IFERROR(INDEX(tblProductos[PRECIO_VENTA],MATCH(E276,tblProductos[ITEM],0)),""))</f>
        <v/>
      </c>
      <c r="J276" s="16" t="str">
        <f t="shared" si="21"/>
        <v/>
      </c>
      <c r="K276" s="16" t="str">
        <f t="shared" si="22"/>
        <v/>
      </c>
      <c r="L276" s="16" t="str">
        <f>IF(E276="","",IFERROR(INDEX(tblProductos[COSTO TOTAL],MATCH(E276,tblProductos[ITEM],0)),""))</f>
        <v/>
      </c>
      <c r="M276" s="16" t="str">
        <f t="shared" si="23"/>
        <v/>
      </c>
      <c r="N276" s="16" t="str">
        <f t="shared" si="24"/>
        <v/>
      </c>
      <c r="O276" s="14" t="s">
        <v>34</v>
      </c>
      <c r="P276" s="14" t="s">
        <v>35</v>
      </c>
      <c r="Q276" s="14" t="s">
        <v>36</v>
      </c>
      <c r="R276" s="14"/>
      <c r="S276" t="str">
        <f>IF(E276="","",IFERROR(INDEX(tblProductos[STOCK_ACTUAL],MATCH(E276,tblProductos[ITEM],0)),""))</f>
        <v/>
      </c>
    </row>
    <row r="277" spans="1:19" x14ac:dyDescent="0.3">
      <c r="A277" s="40"/>
      <c r="B277" s="14" t="str">
        <f t="shared" si="20"/>
        <v/>
      </c>
      <c r="C277" s="14" t="str">
        <f>IF(D277="","",IFERROR(INDEX(tblClientes[ID],MATCH(D277,tblClientes[NOMBRE],0)),""))</f>
        <v/>
      </c>
      <c r="D277" s="14"/>
      <c r="E277" s="14"/>
      <c r="F277" s="14" t="str">
        <f>IF(E277="","",IFERROR(INDEX(tblProductos[CATEGORIA],MATCH(E277,tblProductos[ITEM],0)),""))</f>
        <v/>
      </c>
      <c r="G277" s="15"/>
      <c r="H277" s="16"/>
      <c r="I277" s="16" t="str">
        <f>IF(E277="","",IFERROR(INDEX(tblProductos[PRECIO_VENTA],MATCH(E277,tblProductos[ITEM],0)),""))</f>
        <v/>
      </c>
      <c r="J277" s="16" t="str">
        <f t="shared" si="21"/>
        <v/>
      </c>
      <c r="K277" s="16" t="str">
        <f t="shared" si="22"/>
        <v/>
      </c>
      <c r="L277" s="16" t="str">
        <f>IF(E277="","",IFERROR(INDEX(tblProductos[COSTO TOTAL],MATCH(E277,tblProductos[ITEM],0)),""))</f>
        <v/>
      </c>
      <c r="M277" s="16" t="str">
        <f t="shared" si="23"/>
        <v/>
      </c>
      <c r="N277" s="16" t="str">
        <f t="shared" si="24"/>
        <v/>
      </c>
      <c r="O277" s="14" t="s">
        <v>34</v>
      </c>
      <c r="P277" s="14" t="s">
        <v>35</v>
      </c>
      <c r="Q277" s="14" t="s">
        <v>36</v>
      </c>
      <c r="R277" s="14"/>
      <c r="S277" t="str">
        <f>IF(E277="","",IFERROR(INDEX(tblProductos[STOCK_ACTUAL],MATCH(E277,tblProductos[ITEM],0)),""))</f>
        <v/>
      </c>
    </row>
    <row r="278" spans="1:19" x14ac:dyDescent="0.3">
      <c r="A278" s="40"/>
      <c r="B278" s="14" t="str">
        <f t="shared" si="20"/>
        <v/>
      </c>
      <c r="C278" s="14" t="str">
        <f>IF(D278="","",IFERROR(INDEX(tblClientes[ID],MATCH(D278,tblClientes[NOMBRE],0)),""))</f>
        <v/>
      </c>
      <c r="D278" s="14"/>
      <c r="E278" s="14"/>
      <c r="F278" s="14" t="str">
        <f>IF(E278="","",IFERROR(INDEX(tblProductos[CATEGORIA],MATCH(E278,tblProductos[ITEM],0)),""))</f>
        <v/>
      </c>
      <c r="G278" s="15"/>
      <c r="H278" s="16"/>
      <c r="I278" s="16" t="str">
        <f>IF(E278="","",IFERROR(INDEX(tblProductos[PRECIO_VENTA],MATCH(E278,tblProductos[ITEM],0)),""))</f>
        <v/>
      </c>
      <c r="J278" s="16" t="str">
        <f t="shared" si="21"/>
        <v/>
      </c>
      <c r="K278" s="16" t="str">
        <f t="shared" si="22"/>
        <v/>
      </c>
      <c r="L278" s="16" t="str">
        <f>IF(E278="","",IFERROR(INDEX(tblProductos[COSTO TOTAL],MATCH(E278,tblProductos[ITEM],0)),""))</f>
        <v/>
      </c>
      <c r="M278" s="16" t="str">
        <f t="shared" si="23"/>
        <v/>
      </c>
      <c r="N278" s="16" t="str">
        <f t="shared" si="24"/>
        <v/>
      </c>
      <c r="O278" s="14" t="s">
        <v>34</v>
      </c>
      <c r="P278" s="14" t="s">
        <v>35</v>
      </c>
      <c r="Q278" s="14" t="s">
        <v>36</v>
      </c>
      <c r="R278" s="14"/>
      <c r="S278" t="str">
        <f>IF(E278="","",IFERROR(INDEX(tblProductos[STOCK_ACTUAL],MATCH(E278,tblProductos[ITEM],0)),""))</f>
        <v/>
      </c>
    </row>
    <row r="279" spans="1:19" x14ac:dyDescent="0.3">
      <c r="A279" s="40"/>
      <c r="B279" s="14" t="str">
        <f t="shared" si="20"/>
        <v/>
      </c>
      <c r="C279" s="14" t="str">
        <f>IF(D279="","",IFERROR(INDEX(tblClientes[ID],MATCH(D279,tblClientes[NOMBRE],0)),""))</f>
        <v/>
      </c>
      <c r="D279" s="14"/>
      <c r="E279" s="14"/>
      <c r="F279" s="14" t="str">
        <f>IF(E279="","",IFERROR(INDEX(tblProductos[CATEGORIA],MATCH(E279,tblProductos[ITEM],0)),""))</f>
        <v/>
      </c>
      <c r="G279" s="15"/>
      <c r="H279" s="16"/>
      <c r="I279" s="16" t="str">
        <f>IF(E279="","",IFERROR(INDEX(tblProductos[PRECIO_VENTA],MATCH(E279,tblProductos[ITEM],0)),""))</f>
        <v/>
      </c>
      <c r="J279" s="16" t="str">
        <f t="shared" si="21"/>
        <v/>
      </c>
      <c r="K279" s="16" t="str">
        <f t="shared" si="22"/>
        <v/>
      </c>
      <c r="L279" s="16" t="str">
        <f>IF(E279="","",IFERROR(INDEX(tblProductos[COSTO TOTAL],MATCH(E279,tblProductos[ITEM],0)),""))</f>
        <v/>
      </c>
      <c r="M279" s="16" t="str">
        <f t="shared" si="23"/>
        <v/>
      </c>
      <c r="N279" s="16" t="str">
        <f t="shared" si="24"/>
        <v/>
      </c>
      <c r="O279" s="14" t="s">
        <v>34</v>
      </c>
      <c r="P279" s="14" t="s">
        <v>35</v>
      </c>
      <c r="Q279" s="14" t="s">
        <v>36</v>
      </c>
      <c r="R279" s="14"/>
      <c r="S279" t="str">
        <f>IF(E279="","",IFERROR(INDEX(tblProductos[STOCK_ACTUAL],MATCH(E279,tblProductos[ITEM],0)),""))</f>
        <v/>
      </c>
    </row>
    <row r="280" spans="1:19" x14ac:dyDescent="0.3">
      <c r="A280" s="40"/>
      <c r="B280" s="14" t="str">
        <f t="shared" si="20"/>
        <v/>
      </c>
      <c r="C280" s="14" t="str">
        <f>IF(D280="","",IFERROR(INDEX(tblClientes[ID],MATCH(D280,tblClientes[NOMBRE],0)),""))</f>
        <v/>
      </c>
      <c r="D280" s="14"/>
      <c r="E280" s="14"/>
      <c r="F280" s="14" t="str">
        <f>IF(E280="","",IFERROR(INDEX(tblProductos[CATEGORIA],MATCH(E280,tblProductos[ITEM],0)),""))</f>
        <v/>
      </c>
      <c r="G280" s="15"/>
      <c r="H280" s="16"/>
      <c r="I280" s="16" t="str">
        <f>IF(E280="","",IFERROR(INDEX(tblProductos[PRECIO_VENTA],MATCH(E280,tblProductos[ITEM],0)),""))</f>
        <v/>
      </c>
      <c r="J280" s="16" t="str">
        <f t="shared" si="21"/>
        <v/>
      </c>
      <c r="K280" s="16" t="str">
        <f t="shared" si="22"/>
        <v/>
      </c>
      <c r="L280" s="16" t="str">
        <f>IF(E280="","",IFERROR(INDEX(tblProductos[COSTO TOTAL],MATCH(E280,tblProductos[ITEM],0)),""))</f>
        <v/>
      </c>
      <c r="M280" s="16" t="str">
        <f t="shared" si="23"/>
        <v/>
      </c>
      <c r="N280" s="16" t="str">
        <f t="shared" si="24"/>
        <v/>
      </c>
      <c r="O280" s="14" t="s">
        <v>34</v>
      </c>
      <c r="P280" s="14" t="s">
        <v>35</v>
      </c>
      <c r="Q280" s="14" t="s">
        <v>36</v>
      </c>
      <c r="R280" s="14"/>
      <c r="S280" t="str">
        <f>IF(E280="","",IFERROR(INDEX(tblProductos[STOCK_ACTUAL],MATCH(E280,tblProductos[ITEM],0)),""))</f>
        <v/>
      </c>
    </row>
    <row r="281" spans="1:19" x14ac:dyDescent="0.3">
      <c r="A281" s="40"/>
      <c r="B281" s="14" t="str">
        <f t="shared" si="20"/>
        <v/>
      </c>
      <c r="C281" s="14" t="str">
        <f>IF(D281="","",IFERROR(INDEX(tblClientes[ID],MATCH(D281,tblClientes[NOMBRE],0)),""))</f>
        <v/>
      </c>
      <c r="D281" s="14"/>
      <c r="E281" s="14"/>
      <c r="F281" s="14" t="str">
        <f>IF(E281="","",IFERROR(INDEX(tblProductos[CATEGORIA],MATCH(E281,tblProductos[ITEM],0)),""))</f>
        <v/>
      </c>
      <c r="G281" s="15"/>
      <c r="H281" s="16"/>
      <c r="I281" s="16" t="str">
        <f>IF(E281="","",IFERROR(INDEX(tblProductos[PRECIO_VENTA],MATCH(E281,tblProductos[ITEM],0)),""))</f>
        <v/>
      </c>
      <c r="J281" s="16" t="str">
        <f t="shared" si="21"/>
        <v/>
      </c>
      <c r="K281" s="16" t="str">
        <f t="shared" si="22"/>
        <v/>
      </c>
      <c r="L281" s="16" t="str">
        <f>IF(E281="","",IFERROR(INDEX(tblProductos[COSTO TOTAL],MATCH(E281,tblProductos[ITEM],0)),""))</f>
        <v/>
      </c>
      <c r="M281" s="16" t="str">
        <f t="shared" si="23"/>
        <v/>
      </c>
      <c r="N281" s="16" t="str">
        <f t="shared" si="24"/>
        <v/>
      </c>
      <c r="O281" s="14" t="s">
        <v>34</v>
      </c>
      <c r="P281" s="14" t="s">
        <v>35</v>
      </c>
      <c r="Q281" s="14" t="s">
        <v>36</v>
      </c>
      <c r="R281" s="14"/>
      <c r="S281" t="str">
        <f>IF(E281="","",IFERROR(INDEX(tblProductos[STOCK_ACTUAL],MATCH(E281,tblProductos[ITEM],0)),""))</f>
        <v/>
      </c>
    </row>
    <row r="282" spans="1:19" x14ac:dyDescent="0.3">
      <c r="A282" s="40"/>
      <c r="B282" s="14" t="str">
        <f t="shared" si="20"/>
        <v/>
      </c>
      <c r="C282" s="14" t="str">
        <f>IF(D282="","",IFERROR(INDEX(tblClientes[ID],MATCH(D282,tblClientes[NOMBRE],0)),""))</f>
        <v/>
      </c>
      <c r="D282" s="14"/>
      <c r="E282" s="14"/>
      <c r="F282" s="14" t="str">
        <f>IF(E282="","",IFERROR(INDEX(tblProductos[CATEGORIA],MATCH(E282,tblProductos[ITEM],0)),""))</f>
        <v/>
      </c>
      <c r="G282" s="15"/>
      <c r="H282" s="16"/>
      <c r="I282" s="16" t="str">
        <f>IF(E282="","",IFERROR(INDEX(tblProductos[PRECIO_VENTA],MATCH(E282,tblProductos[ITEM],0)),""))</f>
        <v/>
      </c>
      <c r="J282" s="16" t="str">
        <f t="shared" si="21"/>
        <v/>
      </c>
      <c r="K282" s="16" t="str">
        <f t="shared" si="22"/>
        <v/>
      </c>
      <c r="L282" s="16" t="str">
        <f>IF(E282="","",IFERROR(INDEX(tblProductos[COSTO TOTAL],MATCH(E282,tblProductos[ITEM],0)),""))</f>
        <v/>
      </c>
      <c r="M282" s="16" t="str">
        <f t="shared" si="23"/>
        <v/>
      </c>
      <c r="N282" s="16" t="str">
        <f t="shared" si="24"/>
        <v/>
      </c>
      <c r="O282" s="14" t="s">
        <v>34</v>
      </c>
      <c r="P282" s="14" t="s">
        <v>35</v>
      </c>
      <c r="Q282" s="14" t="s">
        <v>36</v>
      </c>
      <c r="R282" s="14"/>
      <c r="S282" t="str">
        <f>IF(E282="","",IFERROR(INDEX(tblProductos[STOCK_ACTUAL],MATCH(E282,tblProductos[ITEM],0)),""))</f>
        <v/>
      </c>
    </row>
    <row r="283" spans="1:19" x14ac:dyDescent="0.3">
      <c r="A283" s="40"/>
      <c r="B283" s="14" t="str">
        <f t="shared" si="20"/>
        <v/>
      </c>
      <c r="C283" s="14" t="str">
        <f>IF(D283="","",IFERROR(INDEX(tblClientes[ID],MATCH(D283,tblClientes[NOMBRE],0)),""))</f>
        <v/>
      </c>
      <c r="D283" s="14"/>
      <c r="E283" s="14"/>
      <c r="F283" s="14" t="str">
        <f>IF(E283="","",IFERROR(INDEX(tblProductos[CATEGORIA],MATCH(E283,tblProductos[ITEM],0)),""))</f>
        <v/>
      </c>
      <c r="G283" s="15"/>
      <c r="H283" s="16"/>
      <c r="I283" s="16" t="str">
        <f>IF(E283="","",IFERROR(INDEX(tblProductos[PRECIO_VENTA],MATCH(E283,tblProductos[ITEM],0)),""))</f>
        <v/>
      </c>
      <c r="J283" s="16" t="str">
        <f t="shared" si="21"/>
        <v/>
      </c>
      <c r="K283" s="16" t="str">
        <f t="shared" si="22"/>
        <v/>
      </c>
      <c r="L283" s="16" t="str">
        <f>IF(E283="","",IFERROR(INDEX(tblProductos[COSTO TOTAL],MATCH(E283,tblProductos[ITEM],0)),""))</f>
        <v/>
      </c>
      <c r="M283" s="16" t="str">
        <f t="shared" si="23"/>
        <v/>
      </c>
      <c r="N283" s="16" t="str">
        <f t="shared" si="24"/>
        <v/>
      </c>
      <c r="O283" s="14" t="s">
        <v>34</v>
      </c>
      <c r="P283" s="14" t="s">
        <v>35</v>
      </c>
      <c r="Q283" s="14" t="s">
        <v>36</v>
      </c>
      <c r="R283" s="14"/>
      <c r="S283" t="str">
        <f>IF(E283="","",IFERROR(INDEX(tblProductos[STOCK_ACTUAL],MATCH(E283,tblProductos[ITEM],0)),""))</f>
        <v/>
      </c>
    </row>
    <row r="284" spans="1:19" x14ac:dyDescent="0.3">
      <c r="A284" s="40"/>
      <c r="B284" s="14" t="str">
        <f t="shared" si="20"/>
        <v/>
      </c>
      <c r="C284" s="14" t="str">
        <f>IF(D284="","",IFERROR(INDEX(tblClientes[ID],MATCH(D284,tblClientes[NOMBRE],0)),""))</f>
        <v/>
      </c>
      <c r="D284" s="14"/>
      <c r="E284" s="14"/>
      <c r="F284" s="14" t="str">
        <f>IF(E284="","",IFERROR(INDEX(tblProductos[CATEGORIA],MATCH(E284,tblProductos[ITEM],0)),""))</f>
        <v/>
      </c>
      <c r="G284" s="15"/>
      <c r="H284" s="16"/>
      <c r="I284" s="16" t="str">
        <f>IF(E284="","",IFERROR(INDEX(tblProductos[PRECIO_VENTA],MATCH(E284,tblProductos[ITEM],0)),""))</f>
        <v/>
      </c>
      <c r="J284" s="16" t="str">
        <f t="shared" si="21"/>
        <v/>
      </c>
      <c r="K284" s="16" t="str">
        <f t="shared" si="22"/>
        <v/>
      </c>
      <c r="L284" s="16" t="str">
        <f>IF(E284="","",IFERROR(INDEX(tblProductos[COSTO TOTAL],MATCH(E284,tblProductos[ITEM],0)),""))</f>
        <v/>
      </c>
      <c r="M284" s="16" t="str">
        <f t="shared" si="23"/>
        <v/>
      </c>
      <c r="N284" s="16" t="str">
        <f t="shared" si="24"/>
        <v/>
      </c>
      <c r="O284" s="14" t="s">
        <v>34</v>
      </c>
      <c r="P284" s="14" t="s">
        <v>35</v>
      </c>
      <c r="Q284" s="14" t="s">
        <v>36</v>
      </c>
      <c r="R284" s="14"/>
      <c r="S284" t="str">
        <f>IF(E284="","",IFERROR(INDEX(tblProductos[STOCK_ACTUAL],MATCH(E284,tblProductos[ITEM],0)),""))</f>
        <v/>
      </c>
    </row>
    <row r="285" spans="1:19" x14ac:dyDescent="0.3">
      <c r="A285" s="40"/>
      <c r="B285" s="14" t="str">
        <f t="shared" si="20"/>
        <v/>
      </c>
      <c r="C285" s="14" t="str">
        <f>IF(D285="","",IFERROR(INDEX(tblClientes[ID],MATCH(D285,tblClientes[NOMBRE],0)),""))</f>
        <v/>
      </c>
      <c r="D285" s="14"/>
      <c r="E285" s="14"/>
      <c r="F285" s="14" t="str">
        <f>IF(E285="","",IFERROR(INDEX(tblProductos[CATEGORIA],MATCH(E285,tblProductos[ITEM],0)),""))</f>
        <v/>
      </c>
      <c r="G285" s="15"/>
      <c r="H285" s="16"/>
      <c r="I285" s="16" t="str">
        <f>IF(E285="","",IFERROR(INDEX(tblProductos[PRECIO_VENTA],MATCH(E285,tblProductos[ITEM],0)),""))</f>
        <v/>
      </c>
      <c r="J285" s="16" t="str">
        <f t="shared" si="21"/>
        <v/>
      </c>
      <c r="K285" s="16" t="str">
        <f t="shared" si="22"/>
        <v/>
      </c>
      <c r="L285" s="16" t="str">
        <f>IF(E285="","",IFERROR(INDEX(tblProductos[COSTO TOTAL],MATCH(E285,tblProductos[ITEM],0)),""))</f>
        <v/>
      </c>
      <c r="M285" s="16" t="str">
        <f t="shared" si="23"/>
        <v/>
      </c>
      <c r="N285" s="16" t="str">
        <f t="shared" si="24"/>
        <v/>
      </c>
      <c r="O285" s="14" t="s">
        <v>34</v>
      </c>
      <c r="P285" s="14" t="s">
        <v>35</v>
      </c>
      <c r="Q285" s="14" t="s">
        <v>36</v>
      </c>
      <c r="R285" s="14"/>
      <c r="S285" t="str">
        <f>IF(E285="","",IFERROR(INDEX(tblProductos[STOCK_ACTUAL],MATCH(E285,tblProductos[ITEM],0)),""))</f>
        <v/>
      </c>
    </row>
    <row r="286" spans="1:19" x14ac:dyDescent="0.3">
      <c r="A286" s="40"/>
      <c r="B286" s="14" t="str">
        <f t="shared" si="20"/>
        <v/>
      </c>
      <c r="C286" s="14" t="str">
        <f>IF(D286="","",IFERROR(INDEX(tblClientes[ID],MATCH(D286,tblClientes[NOMBRE],0)),""))</f>
        <v/>
      </c>
      <c r="D286" s="14"/>
      <c r="E286" s="14"/>
      <c r="F286" s="14" t="str">
        <f>IF(E286="","",IFERROR(INDEX(tblProductos[CATEGORIA],MATCH(E286,tblProductos[ITEM],0)),""))</f>
        <v/>
      </c>
      <c r="G286" s="15"/>
      <c r="H286" s="16"/>
      <c r="I286" s="16" t="str">
        <f>IF(E286="","",IFERROR(INDEX(tblProductos[PRECIO_VENTA],MATCH(E286,tblProductos[ITEM],0)),""))</f>
        <v/>
      </c>
      <c r="J286" s="16" t="str">
        <f t="shared" si="21"/>
        <v/>
      </c>
      <c r="K286" s="16" t="str">
        <f t="shared" si="22"/>
        <v/>
      </c>
      <c r="L286" s="16" t="str">
        <f>IF(E286="","",IFERROR(INDEX(tblProductos[COSTO TOTAL],MATCH(E286,tblProductos[ITEM],0)),""))</f>
        <v/>
      </c>
      <c r="M286" s="16" t="str">
        <f t="shared" si="23"/>
        <v/>
      </c>
      <c r="N286" s="16" t="str">
        <f t="shared" si="24"/>
        <v/>
      </c>
      <c r="O286" s="14" t="s">
        <v>34</v>
      </c>
      <c r="P286" s="14" t="s">
        <v>35</v>
      </c>
      <c r="Q286" s="14" t="s">
        <v>36</v>
      </c>
      <c r="R286" s="14"/>
      <c r="S286" t="str">
        <f>IF(E286="","",IFERROR(INDEX(tblProductos[STOCK_ACTUAL],MATCH(E286,tblProductos[ITEM],0)),""))</f>
        <v/>
      </c>
    </row>
    <row r="287" spans="1:19" x14ac:dyDescent="0.3">
      <c r="A287" s="40"/>
      <c r="B287" s="14" t="str">
        <f t="shared" si="20"/>
        <v/>
      </c>
      <c r="C287" s="14" t="str">
        <f>IF(D287="","",IFERROR(INDEX(tblClientes[ID],MATCH(D287,tblClientes[NOMBRE],0)),""))</f>
        <v/>
      </c>
      <c r="D287" s="14"/>
      <c r="E287" s="14"/>
      <c r="F287" s="14" t="str">
        <f>IF(E287="","",IFERROR(INDEX(tblProductos[CATEGORIA],MATCH(E287,tblProductos[ITEM],0)),""))</f>
        <v/>
      </c>
      <c r="G287" s="15"/>
      <c r="H287" s="16"/>
      <c r="I287" s="16" t="str">
        <f>IF(E287="","",IFERROR(INDEX(tblProductos[PRECIO_VENTA],MATCH(E287,tblProductos[ITEM],0)),""))</f>
        <v/>
      </c>
      <c r="J287" s="16" t="str">
        <f t="shared" si="21"/>
        <v/>
      </c>
      <c r="K287" s="16" t="str">
        <f t="shared" si="22"/>
        <v/>
      </c>
      <c r="L287" s="16" t="str">
        <f>IF(E287="","",IFERROR(INDEX(tblProductos[COSTO TOTAL],MATCH(E287,tblProductos[ITEM],0)),""))</f>
        <v/>
      </c>
      <c r="M287" s="16" t="str">
        <f t="shared" si="23"/>
        <v/>
      </c>
      <c r="N287" s="16" t="str">
        <f t="shared" si="24"/>
        <v/>
      </c>
      <c r="O287" s="14" t="s">
        <v>34</v>
      </c>
      <c r="P287" s="14" t="s">
        <v>35</v>
      </c>
      <c r="Q287" s="14" t="s">
        <v>36</v>
      </c>
      <c r="R287" s="14"/>
      <c r="S287" t="str">
        <f>IF(E287="","",IFERROR(INDEX(tblProductos[STOCK_ACTUAL],MATCH(E287,tblProductos[ITEM],0)),""))</f>
        <v/>
      </c>
    </row>
    <row r="288" spans="1:19" x14ac:dyDescent="0.3">
      <c r="A288" s="40"/>
      <c r="B288" s="14" t="str">
        <f t="shared" si="20"/>
        <v/>
      </c>
      <c r="C288" s="14" t="str">
        <f>IF(D288="","",IFERROR(INDEX(tblClientes[ID],MATCH(D288,tblClientes[NOMBRE],0)),""))</f>
        <v/>
      </c>
      <c r="D288" s="14"/>
      <c r="E288" s="14"/>
      <c r="F288" s="14" t="str">
        <f>IF(E288="","",IFERROR(INDEX(tblProductos[CATEGORIA],MATCH(E288,tblProductos[ITEM],0)),""))</f>
        <v/>
      </c>
      <c r="G288" s="15"/>
      <c r="H288" s="16"/>
      <c r="I288" s="16" t="str">
        <f>IF(E288="","",IFERROR(INDEX(tblProductos[PRECIO_VENTA],MATCH(E288,tblProductos[ITEM],0)),""))</f>
        <v/>
      </c>
      <c r="J288" s="16" t="str">
        <f t="shared" si="21"/>
        <v/>
      </c>
      <c r="K288" s="16" t="str">
        <f t="shared" si="22"/>
        <v/>
      </c>
      <c r="L288" s="16" t="str">
        <f>IF(E288="","",IFERROR(INDEX(tblProductos[COSTO TOTAL],MATCH(E288,tblProductos[ITEM],0)),""))</f>
        <v/>
      </c>
      <c r="M288" s="16" t="str">
        <f t="shared" si="23"/>
        <v/>
      </c>
      <c r="N288" s="16" t="str">
        <f t="shared" si="24"/>
        <v/>
      </c>
      <c r="O288" s="14" t="s">
        <v>34</v>
      </c>
      <c r="P288" s="14" t="s">
        <v>35</v>
      </c>
      <c r="Q288" s="14" t="s">
        <v>36</v>
      </c>
      <c r="R288" s="14"/>
      <c r="S288" t="str">
        <f>IF(E288="","",IFERROR(INDEX(tblProductos[STOCK_ACTUAL],MATCH(E288,tblProductos[ITEM],0)),""))</f>
        <v/>
      </c>
    </row>
    <row r="289" spans="1:19" x14ac:dyDescent="0.3">
      <c r="A289" s="40"/>
      <c r="B289" s="14" t="str">
        <f t="shared" si="20"/>
        <v/>
      </c>
      <c r="C289" s="14" t="str">
        <f>IF(D289="","",IFERROR(INDEX(tblClientes[ID],MATCH(D289,tblClientes[NOMBRE],0)),""))</f>
        <v/>
      </c>
      <c r="D289" s="14"/>
      <c r="E289" s="14"/>
      <c r="F289" s="14" t="str">
        <f>IF(E289="","",IFERROR(INDEX(tblProductos[CATEGORIA],MATCH(E289,tblProductos[ITEM],0)),""))</f>
        <v/>
      </c>
      <c r="G289" s="15"/>
      <c r="H289" s="16"/>
      <c r="I289" s="16" t="str">
        <f>IF(E289="","",IFERROR(INDEX(tblProductos[PRECIO_VENTA],MATCH(E289,tblProductos[ITEM],0)),""))</f>
        <v/>
      </c>
      <c r="J289" s="16" t="str">
        <f t="shared" si="21"/>
        <v/>
      </c>
      <c r="K289" s="16" t="str">
        <f t="shared" si="22"/>
        <v/>
      </c>
      <c r="L289" s="16" t="str">
        <f>IF(E289="","",IFERROR(INDEX(tblProductos[COSTO TOTAL],MATCH(E289,tblProductos[ITEM],0)),""))</f>
        <v/>
      </c>
      <c r="M289" s="16" t="str">
        <f t="shared" si="23"/>
        <v/>
      </c>
      <c r="N289" s="16" t="str">
        <f t="shared" si="24"/>
        <v/>
      </c>
      <c r="O289" s="14" t="s">
        <v>34</v>
      </c>
      <c r="P289" s="14" t="s">
        <v>35</v>
      </c>
      <c r="Q289" s="14" t="s">
        <v>36</v>
      </c>
      <c r="R289" s="14"/>
      <c r="S289" t="str">
        <f>IF(E289="","",IFERROR(INDEX(tblProductos[STOCK_ACTUAL],MATCH(E289,tblProductos[ITEM],0)),""))</f>
        <v/>
      </c>
    </row>
    <row r="290" spans="1:19" x14ac:dyDescent="0.3">
      <c r="A290" s="40"/>
      <c r="B290" s="14" t="str">
        <f t="shared" si="20"/>
        <v/>
      </c>
      <c r="C290" s="14" t="str">
        <f>IF(D290="","",IFERROR(INDEX(tblClientes[ID],MATCH(D290,tblClientes[NOMBRE],0)),""))</f>
        <v/>
      </c>
      <c r="D290" s="14"/>
      <c r="E290" s="14"/>
      <c r="F290" s="14" t="str">
        <f>IF(E290="","",IFERROR(INDEX(tblProductos[CATEGORIA],MATCH(E290,tblProductos[ITEM],0)),""))</f>
        <v/>
      </c>
      <c r="G290" s="15"/>
      <c r="H290" s="16"/>
      <c r="I290" s="16" t="str">
        <f>IF(E290="","",IFERROR(INDEX(tblProductos[PRECIO_VENTA],MATCH(E290,tblProductos[ITEM],0)),""))</f>
        <v/>
      </c>
      <c r="J290" s="16" t="str">
        <f t="shared" si="21"/>
        <v/>
      </c>
      <c r="K290" s="16" t="str">
        <f t="shared" si="22"/>
        <v/>
      </c>
      <c r="L290" s="16" t="str">
        <f>IF(E290="","",IFERROR(INDEX(tblProductos[COSTO TOTAL],MATCH(E290,tblProductos[ITEM],0)),""))</f>
        <v/>
      </c>
      <c r="M290" s="16" t="str">
        <f t="shared" si="23"/>
        <v/>
      </c>
      <c r="N290" s="16" t="str">
        <f t="shared" si="24"/>
        <v/>
      </c>
      <c r="O290" s="14" t="s">
        <v>34</v>
      </c>
      <c r="P290" s="14" t="s">
        <v>35</v>
      </c>
      <c r="Q290" s="14" t="s">
        <v>36</v>
      </c>
      <c r="R290" s="14"/>
      <c r="S290" t="str">
        <f>IF(E290="","",IFERROR(INDEX(tblProductos[STOCK_ACTUAL],MATCH(E290,tblProductos[ITEM],0)),""))</f>
        <v/>
      </c>
    </row>
    <row r="291" spans="1:19" x14ac:dyDescent="0.3">
      <c r="A291" s="40"/>
      <c r="B291" s="14" t="str">
        <f t="shared" si="20"/>
        <v/>
      </c>
      <c r="C291" s="14" t="str">
        <f>IF(D291="","",IFERROR(INDEX(tblClientes[ID],MATCH(D291,tblClientes[NOMBRE],0)),""))</f>
        <v/>
      </c>
      <c r="D291" s="14"/>
      <c r="E291" s="14"/>
      <c r="F291" s="14" t="str">
        <f>IF(E291="","",IFERROR(INDEX(tblProductos[CATEGORIA],MATCH(E291,tblProductos[ITEM],0)),""))</f>
        <v/>
      </c>
      <c r="G291" s="15"/>
      <c r="H291" s="16"/>
      <c r="I291" s="16" t="str">
        <f>IF(E291="","",IFERROR(INDEX(tblProductos[PRECIO_VENTA],MATCH(E291,tblProductos[ITEM],0)),""))</f>
        <v/>
      </c>
      <c r="J291" s="16" t="str">
        <f t="shared" si="21"/>
        <v/>
      </c>
      <c r="K291" s="16" t="str">
        <f t="shared" si="22"/>
        <v/>
      </c>
      <c r="L291" s="16" t="str">
        <f>IF(E291="","",IFERROR(INDEX(tblProductos[COSTO TOTAL],MATCH(E291,tblProductos[ITEM],0)),""))</f>
        <v/>
      </c>
      <c r="M291" s="16" t="str">
        <f t="shared" si="23"/>
        <v/>
      </c>
      <c r="N291" s="16" t="str">
        <f t="shared" si="24"/>
        <v/>
      </c>
      <c r="O291" s="14" t="s">
        <v>34</v>
      </c>
      <c r="P291" s="14" t="s">
        <v>35</v>
      </c>
      <c r="Q291" s="14" t="s">
        <v>36</v>
      </c>
      <c r="R291" s="14"/>
      <c r="S291" t="str">
        <f>IF(E291="","",IFERROR(INDEX(tblProductos[STOCK_ACTUAL],MATCH(E291,tblProductos[ITEM],0)),""))</f>
        <v/>
      </c>
    </row>
    <row r="292" spans="1:19" x14ac:dyDescent="0.3">
      <c r="A292" s="40"/>
      <c r="B292" s="14" t="str">
        <f t="shared" si="20"/>
        <v/>
      </c>
      <c r="C292" s="14" t="str">
        <f>IF(D292="","",IFERROR(INDEX(tblClientes[ID],MATCH(D292,tblClientes[NOMBRE],0)),""))</f>
        <v/>
      </c>
      <c r="D292" s="14"/>
      <c r="E292" s="14"/>
      <c r="F292" s="14" t="str">
        <f>IF(E292="","",IFERROR(INDEX(tblProductos[CATEGORIA],MATCH(E292,tblProductos[ITEM],0)),""))</f>
        <v/>
      </c>
      <c r="G292" s="15"/>
      <c r="H292" s="16"/>
      <c r="I292" s="16" t="str">
        <f>IF(E292="","",IFERROR(INDEX(tblProductos[PRECIO_VENTA],MATCH(E292,tblProductos[ITEM],0)),""))</f>
        <v/>
      </c>
      <c r="J292" s="16" t="str">
        <f t="shared" si="21"/>
        <v/>
      </c>
      <c r="K292" s="16" t="str">
        <f t="shared" si="22"/>
        <v/>
      </c>
      <c r="L292" s="16" t="str">
        <f>IF(E292="","",IFERROR(INDEX(tblProductos[COSTO TOTAL],MATCH(E292,tblProductos[ITEM],0)),""))</f>
        <v/>
      </c>
      <c r="M292" s="16" t="str">
        <f t="shared" si="23"/>
        <v/>
      </c>
      <c r="N292" s="16" t="str">
        <f t="shared" si="24"/>
        <v/>
      </c>
      <c r="O292" s="14" t="s">
        <v>34</v>
      </c>
      <c r="P292" s="14" t="s">
        <v>35</v>
      </c>
      <c r="Q292" s="14" t="s">
        <v>36</v>
      </c>
      <c r="R292" s="14"/>
      <c r="S292" t="str">
        <f>IF(E292="","",IFERROR(INDEX(tblProductos[STOCK_ACTUAL],MATCH(E292,tblProductos[ITEM],0)),""))</f>
        <v/>
      </c>
    </row>
    <row r="293" spans="1:19" x14ac:dyDescent="0.3">
      <c r="A293" s="40"/>
      <c r="B293" s="14" t="str">
        <f t="shared" si="20"/>
        <v/>
      </c>
      <c r="C293" s="14" t="str">
        <f>IF(D293="","",IFERROR(INDEX(tblClientes[ID],MATCH(D293,tblClientes[NOMBRE],0)),""))</f>
        <v/>
      </c>
      <c r="D293" s="14"/>
      <c r="E293" s="14"/>
      <c r="F293" s="14" t="str">
        <f>IF(E293="","",IFERROR(INDEX(tblProductos[CATEGORIA],MATCH(E293,tblProductos[ITEM],0)),""))</f>
        <v/>
      </c>
      <c r="G293" s="15"/>
      <c r="H293" s="16"/>
      <c r="I293" s="16" t="str">
        <f>IF(E293="","",IFERROR(INDEX(tblProductos[PRECIO_VENTA],MATCH(E293,tblProductos[ITEM],0)),""))</f>
        <v/>
      </c>
      <c r="J293" s="16" t="str">
        <f t="shared" si="21"/>
        <v/>
      </c>
      <c r="K293" s="16" t="str">
        <f t="shared" si="22"/>
        <v/>
      </c>
      <c r="L293" s="16" t="str">
        <f>IF(E293="","",IFERROR(INDEX(tblProductos[COSTO TOTAL],MATCH(E293,tblProductos[ITEM],0)),""))</f>
        <v/>
      </c>
      <c r="M293" s="16" t="str">
        <f t="shared" si="23"/>
        <v/>
      </c>
      <c r="N293" s="16" t="str">
        <f t="shared" si="24"/>
        <v/>
      </c>
      <c r="O293" s="14" t="s">
        <v>34</v>
      </c>
      <c r="P293" s="14" t="s">
        <v>35</v>
      </c>
      <c r="Q293" s="14" t="s">
        <v>36</v>
      </c>
      <c r="R293" s="14"/>
      <c r="S293" t="str">
        <f>IF(E293="","",IFERROR(INDEX(tblProductos[STOCK_ACTUAL],MATCH(E293,tblProductos[ITEM],0)),""))</f>
        <v/>
      </c>
    </row>
    <row r="294" spans="1:19" x14ac:dyDescent="0.3">
      <c r="A294" s="40"/>
      <c r="B294" s="14" t="str">
        <f t="shared" si="20"/>
        <v/>
      </c>
      <c r="C294" s="14" t="str">
        <f>IF(D294="","",IFERROR(INDEX(tblClientes[ID],MATCH(D294,tblClientes[NOMBRE],0)),""))</f>
        <v/>
      </c>
      <c r="D294" s="14"/>
      <c r="E294" s="14"/>
      <c r="F294" s="14" t="str">
        <f>IF(E294="","",IFERROR(INDEX(tblProductos[CATEGORIA],MATCH(E294,tblProductos[ITEM],0)),""))</f>
        <v/>
      </c>
      <c r="G294" s="15"/>
      <c r="H294" s="16"/>
      <c r="I294" s="16" t="str">
        <f>IF(E294="","",IFERROR(INDEX(tblProductos[PRECIO_VENTA],MATCH(E294,tblProductos[ITEM],0)),""))</f>
        <v/>
      </c>
      <c r="J294" s="16" t="str">
        <f t="shared" si="21"/>
        <v/>
      </c>
      <c r="K294" s="16" t="str">
        <f t="shared" si="22"/>
        <v/>
      </c>
      <c r="L294" s="16" t="str">
        <f>IF(E294="","",IFERROR(INDEX(tblProductos[COSTO TOTAL],MATCH(E294,tblProductos[ITEM],0)),""))</f>
        <v/>
      </c>
      <c r="M294" s="16" t="str">
        <f t="shared" si="23"/>
        <v/>
      </c>
      <c r="N294" s="16" t="str">
        <f t="shared" si="24"/>
        <v/>
      </c>
      <c r="O294" s="14" t="s">
        <v>34</v>
      </c>
      <c r="P294" s="14" t="s">
        <v>35</v>
      </c>
      <c r="Q294" s="14" t="s">
        <v>36</v>
      </c>
      <c r="R294" s="14"/>
      <c r="S294" t="str">
        <f>IF(E294="","",IFERROR(INDEX(tblProductos[STOCK_ACTUAL],MATCH(E294,tblProductos[ITEM],0)),""))</f>
        <v/>
      </c>
    </row>
    <row r="295" spans="1:19" x14ac:dyDescent="0.3">
      <c r="A295" s="40"/>
      <c r="B295" s="14" t="str">
        <f t="shared" si="20"/>
        <v/>
      </c>
      <c r="C295" s="14" t="str">
        <f>IF(D295="","",IFERROR(INDEX(tblClientes[ID],MATCH(D295,tblClientes[NOMBRE],0)),""))</f>
        <v/>
      </c>
      <c r="D295" s="14"/>
      <c r="E295" s="14"/>
      <c r="F295" s="14" t="str">
        <f>IF(E295="","",IFERROR(INDEX(tblProductos[CATEGORIA],MATCH(E295,tblProductos[ITEM],0)),""))</f>
        <v/>
      </c>
      <c r="G295" s="15"/>
      <c r="H295" s="16"/>
      <c r="I295" s="16" t="str">
        <f>IF(E295="","",IFERROR(INDEX(tblProductos[PRECIO_VENTA],MATCH(E295,tblProductos[ITEM],0)),""))</f>
        <v/>
      </c>
      <c r="J295" s="16" t="str">
        <f t="shared" si="21"/>
        <v/>
      </c>
      <c r="K295" s="16" t="str">
        <f t="shared" si="22"/>
        <v/>
      </c>
      <c r="L295" s="16" t="str">
        <f>IF(E295="","",IFERROR(INDEX(tblProductos[COSTO TOTAL],MATCH(E295,tblProductos[ITEM],0)),""))</f>
        <v/>
      </c>
      <c r="M295" s="16" t="str">
        <f t="shared" si="23"/>
        <v/>
      </c>
      <c r="N295" s="16" t="str">
        <f t="shared" si="24"/>
        <v/>
      </c>
      <c r="O295" s="14" t="s">
        <v>34</v>
      </c>
      <c r="P295" s="14" t="s">
        <v>35</v>
      </c>
      <c r="Q295" s="14" t="s">
        <v>36</v>
      </c>
      <c r="R295" s="14"/>
      <c r="S295" t="str">
        <f>IF(E295="","",IFERROR(INDEX(tblProductos[STOCK_ACTUAL],MATCH(E295,tblProductos[ITEM],0)),""))</f>
        <v/>
      </c>
    </row>
    <row r="296" spans="1:19" x14ac:dyDescent="0.3">
      <c r="A296" s="40"/>
      <c r="B296" s="14" t="str">
        <f t="shared" si="20"/>
        <v/>
      </c>
      <c r="C296" s="14" t="str">
        <f>IF(D296="","",IFERROR(INDEX(tblClientes[ID],MATCH(D296,tblClientes[NOMBRE],0)),""))</f>
        <v/>
      </c>
      <c r="D296" s="14"/>
      <c r="E296" s="14"/>
      <c r="F296" s="14" t="str">
        <f>IF(E296="","",IFERROR(INDEX(tblProductos[CATEGORIA],MATCH(E296,tblProductos[ITEM],0)),""))</f>
        <v/>
      </c>
      <c r="G296" s="15"/>
      <c r="H296" s="16"/>
      <c r="I296" s="16" t="str">
        <f>IF(E296="","",IFERROR(INDEX(tblProductos[PRECIO_VENTA],MATCH(E296,tblProductos[ITEM],0)),""))</f>
        <v/>
      </c>
      <c r="J296" s="16" t="str">
        <f t="shared" si="21"/>
        <v/>
      </c>
      <c r="K296" s="16" t="str">
        <f t="shared" si="22"/>
        <v/>
      </c>
      <c r="L296" s="16" t="str">
        <f>IF(E296="","",IFERROR(INDEX(tblProductos[COSTO TOTAL],MATCH(E296,tblProductos[ITEM],0)),""))</f>
        <v/>
      </c>
      <c r="M296" s="16" t="str">
        <f t="shared" si="23"/>
        <v/>
      </c>
      <c r="N296" s="16" t="str">
        <f t="shared" si="24"/>
        <v/>
      </c>
      <c r="O296" s="14" t="s">
        <v>34</v>
      </c>
      <c r="P296" s="14" t="s">
        <v>35</v>
      </c>
      <c r="Q296" s="14" t="s">
        <v>36</v>
      </c>
      <c r="R296" s="14"/>
      <c r="S296" t="str">
        <f>IF(E296="","",IFERROR(INDEX(tblProductos[STOCK_ACTUAL],MATCH(E296,tblProductos[ITEM],0)),""))</f>
        <v/>
      </c>
    </row>
    <row r="297" spans="1:19" x14ac:dyDescent="0.3">
      <c r="A297" s="40"/>
      <c r="B297" s="14" t="str">
        <f t="shared" si="20"/>
        <v/>
      </c>
      <c r="C297" s="14" t="str">
        <f>IF(D297="","",IFERROR(INDEX(tblClientes[ID],MATCH(D297,tblClientes[NOMBRE],0)),""))</f>
        <v/>
      </c>
      <c r="D297" s="14"/>
      <c r="E297" s="14"/>
      <c r="F297" s="14" t="str">
        <f>IF(E297="","",IFERROR(INDEX(tblProductos[CATEGORIA],MATCH(E297,tblProductos[ITEM],0)),""))</f>
        <v/>
      </c>
      <c r="G297" s="15"/>
      <c r="H297" s="16"/>
      <c r="I297" s="16" t="str">
        <f>IF(E297="","",IFERROR(INDEX(tblProductos[PRECIO_VENTA],MATCH(E297,tblProductos[ITEM],0)),""))</f>
        <v/>
      </c>
      <c r="J297" s="16" t="str">
        <f t="shared" si="21"/>
        <v/>
      </c>
      <c r="K297" s="16" t="str">
        <f t="shared" si="22"/>
        <v/>
      </c>
      <c r="L297" s="16" t="str">
        <f>IF(E297="","",IFERROR(INDEX(tblProductos[COSTO TOTAL],MATCH(E297,tblProductos[ITEM],0)),""))</f>
        <v/>
      </c>
      <c r="M297" s="16" t="str">
        <f t="shared" si="23"/>
        <v/>
      </c>
      <c r="N297" s="16" t="str">
        <f t="shared" si="24"/>
        <v/>
      </c>
      <c r="O297" s="14" t="s">
        <v>34</v>
      </c>
      <c r="P297" s="14" t="s">
        <v>35</v>
      </c>
      <c r="Q297" s="14" t="s">
        <v>36</v>
      </c>
      <c r="R297" s="14"/>
      <c r="S297" t="str">
        <f>IF(E297="","",IFERROR(INDEX(tblProductos[STOCK_ACTUAL],MATCH(E297,tblProductos[ITEM],0)),""))</f>
        <v/>
      </c>
    </row>
    <row r="298" spans="1:19" x14ac:dyDescent="0.3">
      <c r="A298" s="40"/>
      <c r="B298" s="14" t="str">
        <f t="shared" si="20"/>
        <v/>
      </c>
      <c r="C298" s="14" t="str">
        <f>IF(D298="","",IFERROR(INDEX(tblClientes[ID],MATCH(D298,tblClientes[NOMBRE],0)),""))</f>
        <v/>
      </c>
      <c r="D298" s="14"/>
      <c r="E298" s="14"/>
      <c r="F298" s="14" t="str">
        <f>IF(E298="","",IFERROR(INDEX(tblProductos[CATEGORIA],MATCH(E298,tblProductos[ITEM],0)),""))</f>
        <v/>
      </c>
      <c r="G298" s="15"/>
      <c r="H298" s="16"/>
      <c r="I298" s="16" t="str">
        <f>IF(E298="","",IFERROR(INDEX(tblProductos[PRECIO_VENTA],MATCH(E298,tblProductos[ITEM],0)),""))</f>
        <v/>
      </c>
      <c r="J298" s="16" t="str">
        <f t="shared" si="21"/>
        <v/>
      </c>
      <c r="K298" s="16" t="str">
        <f t="shared" si="22"/>
        <v/>
      </c>
      <c r="L298" s="16" t="str">
        <f>IF(E298="","",IFERROR(INDEX(tblProductos[COSTO TOTAL],MATCH(E298,tblProductos[ITEM],0)),""))</f>
        <v/>
      </c>
      <c r="M298" s="16" t="str">
        <f t="shared" si="23"/>
        <v/>
      </c>
      <c r="N298" s="16" t="str">
        <f t="shared" si="24"/>
        <v/>
      </c>
      <c r="O298" s="14" t="s">
        <v>34</v>
      </c>
      <c r="P298" s="14" t="s">
        <v>35</v>
      </c>
      <c r="Q298" s="14" t="s">
        <v>36</v>
      </c>
      <c r="R298" s="14"/>
      <c r="S298" t="str">
        <f>IF(E298="","",IFERROR(INDEX(tblProductos[STOCK_ACTUAL],MATCH(E298,tblProductos[ITEM],0)),""))</f>
        <v/>
      </c>
    </row>
    <row r="299" spans="1:19" x14ac:dyDescent="0.3">
      <c r="A299" s="40"/>
      <c r="B299" s="14" t="str">
        <f t="shared" si="20"/>
        <v/>
      </c>
      <c r="C299" s="14" t="str">
        <f>IF(D299="","",IFERROR(INDEX(tblClientes[ID],MATCH(D299,tblClientes[NOMBRE],0)),""))</f>
        <v/>
      </c>
      <c r="D299" s="14"/>
      <c r="E299" s="14"/>
      <c r="F299" s="14" t="str">
        <f>IF(E299="","",IFERROR(INDEX(tblProductos[CATEGORIA],MATCH(E299,tblProductos[ITEM],0)),""))</f>
        <v/>
      </c>
      <c r="G299" s="15"/>
      <c r="H299" s="16"/>
      <c r="I299" s="16" t="str">
        <f>IF(E299="","",IFERROR(INDEX(tblProductos[PRECIO_VENTA],MATCH(E299,tblProductos[ITEM],0)),""))</f>
        <v/>
      </c>
      <c r="J299" s="16" t="str">
        <f t="shared" si="21"/>
        <v/>
      </c>
      <c r="K299" s="16" t="str">
        <f t="shared" si="22"/>
        <v/>
      </c>
      <c r="L299" s="16" t="str">
        <f>IF(E299="","",IFERROR(INDEX(tblProductos[COSTO TOTAL],MATCH(E299,tblProductos[ITEM],0)),""))</f>
        <v/>
      </c>
      <c r="M299" s="16" t="str">
        <f t="shared" si="23"/>
        <v/>
      </c>
      <c r="N299" s="16" t="str">
        <f t="shared" si="24"/>
        <v/>
      </c>
      <c r="O299" s="14" t="s">
        <v>34</v>
      </c>
      <c r="P299" s="14" t="s">
        <v>35</v>
      </c>
      <c r="Q299" s="14" t="s">
        <v>36</v>
      </c>
      <c r="R299" s="14"/>
      <c r="S299" t="str">
        <f>IF(E299="","",IFERROR(INDEX(tblProductos[STOCK_ACTUAL],MATCH(E299,tblProductos[ITEM],0)),""))</f>
        <v/>
      </c>
    </row>
    <row r="300" spans="1:19" x14ac:dyDescent="0.3">
      <c r="A300" s="40"/>
      <c r="B300" s="14" t="str">
        <f t="shared" si="20"/>
        <v/>
      </c>
      <c r="C300" s="14" t="str">
        <f>IF(D300="","",IFERROR(INDEX(tblClientes[ID],MATCH(D300,tblClientes[NOMBRE],0)),""))</f>
        <v/>
      </c>
      <c r="D300" s="14"/>
      <c r="E300" s="14"/>
      <c r="F300" s="14" t="str">
        <f>IF(E300="","",IFERROR(INDEX(tblProductos[CATEGORIA],MATCH(E300,tblProductos[ITEM],0)),""))</f>
        <v/>
      </c>
      <c r="G300" s="15"/>
      <c r="H300" s="16"/>
      <c r="I300" s="16" t="str">
        <f>IF(E300="","",IFERROR(INDEX(tblProductos[PRECIO_VENTA],MATCH(E300,tblProductos[ITEM],0)),""))</f>
        <v/>
      </c>
      <c r="J300" s="16" t="str">
        <f t="shared" si="21"/>
        <v/>
      </c>
      <c r="K300" s="16" t="str">
        <f t="shared" si="22"/>
        <v/>
      </c>
      <c r="L300" s="16" t="str">
        <f>IF(E300="","",IFERROR(INDEX(tblProductos[COSTO TOTAL],MATCH(E300,tblProductos[ITEM],0)),""))</f>
        <v/>
      </c>
      <c r="M300" s="16" t="str">
        <f t="shared" si="23"/>
        <v/>
      </c>
      <c r="N300" s="16" t="str">
        <f t="shared" si="24"/>
        <v/>
      </c>
      <c r="O300" s="14" t="s">
        <v>34</v>
      </c>
      <c r="P300" s="14" t="s">
        <v>35</v>
      </c>
      <c r="Q300" s="14" t="s">
        <v>36</v>
      </c>
      <c r="R300" s="14"/>
      <c r="S300" t="str">
        <f>IF(E300="","",IFERROR(INDEX(tblProductos[STOCK_ACTUAL],MATCH(E300,tblProductos[ITEM],0)),""))</f>
        <v/>
      </c>
    </row>
    <row r="301" spans="1:19" x14ac:dyDescent="0.3">
      <c r="A301" s="40"/>
      <c r="B301" s="14" t="str">
        <f t="shared" si="20"/>
        <v/>
      </c>
      <c r="C301" s="14" t="str">
        <f>IF(D301="","",IFERROR(INDEX(tblClientes[ID],MATCH(D301,tblClientes[NOMBRE],0)),""))</f>
        <v/>
      </c>
      <c r="D301" s="14"/>
      <c r="E301" s="14"/>
      <c r="F301" s="14" t="str">
        <f>IF(E301="","",IFERROR(INDEX(tblProductos[CATEGORIA],MATCH(E301,tblProductos[ITEM],0)),""))</f>
        <v/>
      </c>
      <c r="G301" s="15"/>
      <c r="H301" s="16"/>
      <c r="I301" s="16" t="str">
        <f>IF(E301="","",IFERROR(INDEX(tblProductos[PRECIO_VENTA],MATCH(E301,tblProductos[ITEM],0)),""))</f>
        <v/>
      </c>
      <c r="J301" s="16" t="str">
        <f t="shared" si="21"/>
        <v/>
      </c>
      <c r="K301" s="16" t="str">
        <f t="shared" si="22"/>
        <v/>
      </c>
      <c r="L301" s="16" t="str">
        <f>IF(E301="","",IFERROR(INDEX(tblProductos[COSTO TOTAL],MATCH(E301,tblProductos[ITEM],0)),""))</f>
        <v/>
      </c>
      <c r="M301" s="16" t="str">
        <f t="shared" si="23"/>
        <v/>
      </c>
      <c r="N301" s="16" t="str">
        <f t="shared" si="24"/>
        <v/>
      </c>
      <c r="O301" s="14" t="s">
        <v>34</v>
      </c>
      <c r="P301" s="14" t="s">
        <v>35</v>
      </c>
      <c r="Q301" s="14" t="s">
        <v>36</v>
      </c>
      <c r="R301" s="14"/>
      <c r="S301" t="str">
        <f>IF(E301="","",IFERROR(INDEX(tblProductos[STOCK_ACTUAL],MATCH(E301,tblProductos[ITEM],0)),""))</f>
        <v/>
      </c>
    </row>
    <row r="302" spans="1:19" x14ac:dyDescent="0.3">
      <c r="A302" s="40"/>
      <c r="B302" s="14" t="str">
        <f t="shared" si="20"/>
        <v/>
      </c>
      <c r="C302" s="14" t="str">
        <f>IF(D302="","",IFERROR(INDEX(tblClientes[ID],MATCH(D302,tblClientes[NOMBRE],0)),""))</f>
        <v/>
      </c>
      <c r="D302" s="14"/>
      <c r="E302" s="14"/>
      <c r="F302" s="14" t="str">
        <f>IF(E302="","",IFERROR(INDEX(tblProductos[CATEGORIA],MATCH(E302,tblProductos[ITEM],0)),""))</f>
        <v/>
      </c>
      <c r="G302" s="15"/>
      <c r="H302" s="16"/>
      <c r="I302" s="16" t="str">
        <f>IF(E302="","",IFERROR(INDEX(tblProductos[PRECIO_VENTA],MATCH(E302,tblProductos[ITEM],0)),""))</f>
        <v/>
      </c>
      <c r="J302" s="16" t="str">
        <f t="shared" si="21"/>
        <v/>
      </c>
      <c r="K302" s="16" t="str">
        <f t="shared" si="22"/>
        <v/>
      </c>
      <c r="L302" s="16" t="str">
        <f>IF(E302="","",IFERROR(INDEX(tblProductos[COSTO TOTAL],MATCH(E302,tblProductos[ITEM],0)),""))</f>
        <v/>
      </c>
      <c r="M302" s="16" t="str">
        <f t="shared" si="23"/>
        <v/>
      </c>
      <c r="N302" s="16" t="str">
        <f t="shared" si="24"/>
        <v/>
      </c>
      <c r="O302" s="14" t="s">
        <v>34</v>
      </c>
      <c r="P302" s="14" t="s">
        <v>35</v>
      </c>
      <c r="Q302" s="14" t="s">
        <v>36</v>
      </c>
      <c r="R302" s="14"/>
      <c r="S302" t="str">
        <f>IF(E302="","",IFERROR(INDEX(tblProductos[STOCK_ACTUAL],MATCH(E302,tblProductos[ITEM],0)),""))</f>
        <v/>
      </c>
    </row>
    <row r="303" spans="1:19" x14ac:dyDescent="0.3">
      <c r="A303" s="40"/>
      <c r="B303" s="14" t="str">
        <f t="shared" si="20"/>
        <v/>
      </c>
      <c r="C303" s="14" t="str">
        <f>IF(D303="","",IFERROR(INDEX(tblClientes[ID],MATCH(D303,tblClientes[NOMBRE],0)),""))</f>
        <v/>
      </c>
      <c r="D303" s="14"/>
      <c r="E303" s="14"/>
      <c r="F303" s="14" t="str">
        <f>IF(E303="","",IFERROR(INDEX(tblProductos[CATEGORIA],MATCH(E303,tblProductos[ITEM],0)),""))</f>
        <v/>
      </c>
      <c r="G303" s="15"/>
      <c r="H303" s="16"/>
      <c r="I303" s="16" t="str">
        <f>IF(E303="","",IFERROR(INDEX(tblProductos[PRECIO_VENTA],MATCH(E303,tblProductos[ITEM],0)),""))</f>
        <v/>
      </c>
      <c r="J303" s="16" t="str">
        <f t="shared" si="21"/>
        <v/>
      </c>
      <c r="K303" s="16" t="str">
        <f t="shared" si="22"/>
        <v/>
      </c>
      <c r="L303" s="16" t="str">
        <f>IF(E303="","",IFERROR(INDEX(tblProductos[COSTO TOTAL],MATCH(E303,tblProductos[ITEM],0)),""))</f>
        <v/>
      </c>
      <c r="M303" s="16" t="str">
        <f t="shared" si="23"/>
        <v/>
      </c>
      <c r="N303" s="16" t="str">
        <f t="shared" si="24"/>
        <v/>
      </c>
      <c r="O303" s="14" t="s">
        <v>34</v>
      </c>
      <c r="P303" s="14" t="s">
        <v>35</v>
      </c>
      <c r="Q303" s="14" t="s">
        <v>36</v>
      </c>
      <c r="R303" s="14"/>
      <c r="S303" t="str">
        <f>IF(E303="","",IFERROR(INDEX(tblProductos[STOCK_ACTUAL],MATCH(E303,tblProductos[ITEM],0)),""))</f>
        <v/>
      </c>
    </row>
    <row r="304" spans="1:19" x14ac:dyDescent="0.3">
      <c r="A304" s="40"/>
      <c r="B304" s="14" t="str">
        <f t="shared" si="20"/>
        <v/>
      </c>
      <c r="C304" s="14" t="str">
        <f>IF(D304="","",IFERROR(INDEX(tblClientes[ID],MATCH(D304,tblClientes[NOMBRE],0)),""))</f>
        <v/>
      </c>
      <c r="D304" s="14"/>
      <c r="E304" s="14"/>
      <c r="F304" s="14" t="str">
        <f>IF(E304="","",IFERROR(INDEX(tblProductos[CATEGORIA],MATCH(E304,tblProductos[ITEM],0)),""))</f>
        <v/>
      </c>
      <c r="G304" s="15"/>
      <c r="H304" s="16"/>
      <c r="I304" s="16" t="str">
        <f>IF(E304="","",IFERROR(INDEX(tblProductos[PRECIO_VENTA],MATCH(E304,tblProductos[ITEM],0)),""))</f>
        <v/>
      </c>
      <c r="J304" s="16" t="str">
        <f t="shared" si="21"/>
        <v/>
      </c>
      <c r="K304" s="16" t="str">
        <f t="shared" si="22"/>
        <v/>
      </c>
      <c r="L304" s="16" t="str">
        <f>IF(E304="","",IFERROR(INDEX(tblProductos[COSTO TOTAL],MATCH(E304,tblProductos[ITEM],0)),""))</f>
        <v/>
      </c>
      <c r="M304" s="16" t="str">
        <f t="shared" si="23"/>
        <v/>
      </c>
      <c r="N304" s="16" t="str">
        <f t="shared" si="24"/>
        <v/>
      </c>
      <c r="O304" s="14" t="s">
        <v>34</v>
      </c>
      <c r="P304" s="14" t="s">
        <v>35</v>
      </c>
      <c r="Q304" s="14" t="s">
        <v>36</v>
      </c>
      <c r="R304" s="14"/>
      <c r="S304" t="str">
        <f>IF(E304="","",IFERROR(INDEX(tblProductos[STOCK_ACTUAL],MATCH(E304,tblProductos[ITEM],0)),""))</f>
        <v/>
      </c>
    </row>
    <row r="305" spans="1:19" x14ac:dyDescent="0.3">
      <c r="A305" s="40"/>
      <c r="B305" s="14" t="str">
        <f t="shared" si="20"/>
        <v/>
      </c>
      <c r="C305" s="14" t="str">
        <f>IF(D305="","",IFERROR(INDEX(tblClientes[ID],MATCH(D305,tblClientes[NOMBRE],0)),""))</f>
        <v/>
      </c>
      <c r="D305" s="14"/>
      <c r="E305" s="14"/>
      <c r="F305" s="14" t="str">
        <f>IF(E305="","",IFERROR(INDEX(tblProductos[CATEGORIA],MATCH(E305,tblProductos[ITEM],0)),""))</f>
        <v/>
      </c>
      <c r="G305" s="15"/>
      <c r="H305" s="16"/>
      <c r="I305" s="16" t="str">
        <f>IF(E305="","",IFERROR(INDEX(tblProductos[PRECIO_VENTA],MATCH(E305,tblProductos[ITEM],0)),""))</f>
        <v/>
      </c>
      <c r="J305" s="16" t="str">
        <f t="shared" si="21"/>
        <v/>
      </c>
      <c r="K305" s="16" t="str">
        <f t="shared" si="22"/>
        <v/>
      </c>
      <c r="L305" s="16" t="str">
        <f>IF(E305="","",IFERROR(INDEX(tblProductos[COSTO TOTAL],MATCH(E305,tblProductos[ITEM],0)),""))</f>
        <v/>
      </c>
      <c r="M305" s="16" t="str">
        <f t="shared" si="23"/>
        <v/>
      </c>
      <c r="N305" s="16" t="str">
        <f t="shared" si="24"/>
        <v/>
      </c>
      <c r="O305" s="14" t="s">
        <v>34</v>
      </c>
      <c r="P305" s="14" t="s">
        <v>35</v>
      </c>
      <c r="Q305" s="14" t="s">
        <v>36</v>
      </c>
      <c r="R305" s="14"/>
      <c r="S305" t="str">
        <f>IF(E305="","",IFERROR(INDEX(tblProductos[STOCK_ACTUAL],MATCH(E305,tblProductos[ITEM],0)),""))</f>
        <v/>
      </c>
    </row>
    <row r="306" spans="1:19" x14ac:dyDescent="0.3">
      <c r="A306" s="40"/>
      <c r="B306" s="14" t="str">
        <f t="shared" si="20"/>
        <v/>
      </c>
      <c r="C306" s="14" t="str">
        <f>IF(D306="","",IFERROR(INDEX(tblClientes[ID],MATCH(D306,tblClientes[NOMBRE],0)),""))</f>
        <v/>
      </c>
      <c r="D306" s="14"/>
      <c r="E306" s="14"/>
      <c r="F306" s="14" t="str">
        <f>IF(E306="","",IFERROR(INDEX(tblProductos[CATEGORIA],MATCH(E306,tblProductos[ITEM],0)),""))</f>
        <v/>
      </c>
      <c r="G306" s="15"/>
      <c r="H306" s="16"/>
      <c r="I306" s="16" t="str">
        <f>IF(E306="","",IFERROR(INDEX(tblProductos[PRECIO_VENTA],MATCH(E306,tblProductos[ITEM],0)),""))</f>
        <v/>
      </c>
      <c r="J306" s="16" t="str">
        <f t="shared" si="21"/>
        <v/>
      </c>
      <c r="K306" s="16" t="str">
        <f t="shared" si="22"/>
        <v/>
      </c>
      <c r="L306" s="16" t="str">
        <f>IF(E306="","",IFERROR(INDEX(tblProductos[COSTO TOTAL],MATCH(E306,tblProductos[ITEM],0)),""))</f>
        <v/>
      </c>
      <c r="M306" s="16" t="str">
        <f t="shared" si="23"/>
        <v/>
      </c>
      <c r="N306" s="16" t="str">
        <f t="shared" si="24"/>
        <v/>
      </c>
      <c r="O306" s="14" t="s">
        <v>34</v>
      </c>
      <c r="P306" s="14" t="s">
        <v>35</v>
      </c>
      <c r="Q306" s="14" t="s">
        <v>36</v>
      </c>
      <c r="R306" s="14"/>
      <c r="S306" t="str">
        <f>IF(E306="","",IFERROR(INDEX(tblProductos[STOCK_ACTUAL],MATCH(E306,tblProductos[ITEM],0)),""))</f>
        <v/>
      </c>
    </row>
    <row r="307" spans="1:19" x14ac:dyDescent="0.3">
      <c r="A307" s="40"/>
      <c r="B307" s="14" t="str">
        <f t="shared" si="20"/>
        <v/>
      </c>
      <c r="C307" s="14" t="str">
        <f>IF(D307="","",IFERROR(INDEX(tblClientes[ID],MATCH(D307,tblClientes[NOMBRE],0)),""))</f>
        <v/>
      </c>
      <c r="D307" s="14"/>
      <c r="E307" s="14"/>
      <c r="F307" s="14" t="str">
        <f>IF(E307="","",IFERROR(INDEX(tblProductos[CATEGORIA],MATCH(E307,tblProductos[ITEM],0)),""))</f>
        <v/>
      </c>
      <c r="G307" s="15"/>
      <c r="H307" s="16"/>
      <c r="I307" s="16" t="str">
        <f>IF(E307="","",IFERROR(INDEX(tblProductos[PRECIO_VENTA],MATCH(E307,tblProductos[ITEM],0)),""))</f>
        <v/>
      </c>
      <c r="J307" s="16" t="str">
        <f t="shared" si="21"/>
        <v/>
      </c>
      <c r="K307" s="16" t="str">
        <f t="shared" si="22"/>
        <v/>
      </c>
      <c r="L307" s="16" t="str">
        <f>IF(E307="","",IFERROR(INDEX(tblProductos[COSTO TOTAL],MATCH(E307,tblProductos[ITEM],0)),""))</f>
        <v/>
      </c>
      <c r="M307" s="16" t="str">
        <f t="shared" si="23"/>
        <v/>
      </c>
      <c r="N307" s="16" t="str">
        <f t="shared" si="24"/>
        <v/>
      </c>
      <c r="O307" s="14" t="s">
        <v>34</v>
      </c>
      <c r="P307" s="14" t="s">
        <v>35</v>
      </c>
      <c r="Q307" s="14" t="s">
        <v>36</v>
      </c>
      <c r="R307" s="14"/>
      <c r="S307" t="str">
        <f>IF(E307="","",IFERROR(INDEX(tblProductos[STOCK_ACTUAL],MATCH(E307,tblProductos[ITEM],0)),""))</f>
        <v/>
      </c>
    </row>
    <row r="308" spans="1:19" x14ac:dyDescent="0.3">
      <c r="A308" s="40"/>
      <c r="B308" s="14" t="str">
        <f t="shared" si="20"/>
        <v/>
      </c>
      <c r="C308" s="14" t="str">
        <f>IF(D308="","",IFERROR(INDEX(tblClientes[ID],MATCH(D308,tblClientes[NOMBRE],0)),""))</f>
        <v/>
      </c>
      <c r="D308" s="14"/>
      <c r="E308" s="14"/>
      <c r="F308" s="14" t="str">
        <f>IF(E308="","",IFERROR(INDEX(tblProductos[CATEGORIA],MATCH(E308,tblProductos[ITEM],0)),""))</f>
        <v/>
      </c>
      <c r="G308" s="15"/>
      <c r="H308" s="16"/>
      <c r="I308" s="16" t="str">
        <f>IF(E308="","",IFERROR(INDEX(tblProductos[PRECIO_VENTA],MATCH(E308,tblProductos[ITEM],0)),""))</f>
        <v/>
      </c>
      <c r="J308" s="16" t="str">
        <f t="shared" si="21"/>
        <v/>
      </c>
      <c r="K308" s="16" t="str">
        <f t="shared" si="22"/>
        <v/>
      </c>
      <c r="L308" s="16" t="str">
        <f>IF(E308="","",IFERROR(INDEX(tblProductos[COSTO TOTAL],MATCH(E308,tblProductos[ITEM],0)),""))</f>
        <v/>
      </c>
      <c r="M308" s="16" t="str">
        <f t="shared" si="23"/>
        <v/>
      </c>
      <c r="N308" s="16" t="str">
        <f t="shared" si="24"/>
        <v/>
      </c>
      <c r="O308" s="14" t="s">
        <v>34</v>
      </c>
      <c r="P308" s="14" t="s">
        <v>35</v>
      </c>
      <c r="Q308" s="14" t="s">
        <v>36</v>
      </c>
      <c r="R308" s="14"/>
      <c r="S308" t="str">
        <f>IF(E308="","",IFERROR(INDEX(tblProductos[STOCK_ACTUAL],MATCH(E308,tblProductos[ITEM],0)),""))</f>
        <v/>
      </c>
    </row>
    <row r="309" spans="1:19" x14ac:dyDescent="0.3">
      <c r="A309" s="40"/>
      <c r="B309" s="14" t="str">
        <f t="shared" si="20"/>
        <v/>
      </c>
      <c r="C309" s="14" t="str">
        <f>IF(D309="","",IFERROR(INDEX(tblClientes[ID],MATCH(D309,tblClientes[NOMBRE],0)),""))</f>
        <v/>
      </c>
      <c r="D309" s="14"/>
      <c r="E309" s="14"/>
      <c r="F309" s="14" t="str">
        <f>IF(E309="","",IFERROR(INDEX(tblProductos[CATEGORIA],MATCH(E309,tblProductos[ITEM],0)),""))</f>
        <v/>
      </c>
      <c r="G309" s="15"/>
      <c r="H309" s="16"/>
      <c r="I309" s="16" t="str">
        <f>IF(E309="","",IFERROR(INDEX(tblProductos[PRECIO_VENTA],MATCH(E309,tblProductos[ITEM],0)),""))</f>
        <v/>
      </c>
      <c r="J309" s="16" t="str">
        <f t="shared" si="21"/>
        <v/>
      </c>
      <c r="K309" s="16" t="str">
        <f t="shared" si="22"/>
        <v/>
      </c>
      <c r="L309" s="16" t="str">
        <f>IF(E309="","",IFERROR(INDEX(tblProductos[COSTO TOTAL],MATCH(E309,tblProductos[ITEM],0)),""))</f>
        <v/>
      </c>
      <c r="M309" s="16" t="str">
        <f t="shared" si="23"/>
        <v/>
      </c>
      <c r="N309" s="16" t="str">
        <f t="shared" si="24"/>
        <v/>
      </c>
      <c r="O309" s="14" t="s">
        <v>34</v>
      </c>
      <c r="P309" s="14" t="s">
        <v>35</v>
      </c>
      <c r="Q309" s="14" t="s">
        <v>36</v>
      </c>
      <c r="R309" s="14"/>
      <c r="S309" t="str">
        <f>IF(E309="","",IFERROR(INDEX(tblProductos[STOCK_ACTUAL],MATCH(E309,tblProductos[ITEM],0)),""))</f>
        <v/>
      </c>
    </row>
    <row r="310" spans="1:19" x14ac:dyDescent="0.3">
      <c r="A310" s="40"/>
      <c r="B310" s="14" t="str">
        <f t="shared" si="20"/>
        <v/>
      </c>
      <c r="C310" s="14" t="str">
        <f>IF(D310="","",IFERROR(INDEX(tblClientes[ID],MATCH(D310,tblClientes[NOMBRE],0)),""))</f>
        <v/>
      </c>
      <c r="D310" s="14"/>
      <c r="E310" s="14"/>
      <c r="F310" s="14" t="str">
        <f>IF(E310="","",IFERROR(INDEX(tblProductos[CATEGORIA],MATCH(E310,tblProductos[ITEM],0)),""))</f>
        <v/>
      </c>
      <c r="G310" s="15"/>
      <c r="H310" s="16"/>
      <c r="I310" s="16" t="str">
        <f>IF(E310="","",IFERROR(INDEX(tblProductos[PRECIO_VENTA],MATCH(E310,tblProductos[ITEM],0)),""))</f>
        <v/>
      </c>
      <c r="J310" s="16" t="str">
        <f t="shared" si="21"/>
        <v/>
      </c>
      <c r="K310" s="16" t="str">
        <f t="shared" si="22"/>
        <v/>
      </c>
      <c r="L310" s="16" t="str">
        <f>IF(E310="","",IFERROR(INDEX(tblProductos[COSTO TOTAL],MATCH(E310,tblProductos[ITEM],0)),""))</f>
        <v/>
      </c>
      <c r="M310" s="16" t="str">
        <f t="shared" si="23"/>
        <v/>
      </c>
      <c r="N310" s="16" t="str">
        <f t="shared" si="24"/>
        <v/>
      </c>
      <c r="O310" s="14" t="s">
        <v>34</v>
      </c>
      <c r="P310" s="14" t="s">
        <v>35</v>
      </c>
      <c r="Q310" s="14" t="s">
        <v>36</v>
      </c>
      <c r="R310" s="14"/>
      <c r="S310" t="str">
        <f>IF(E310="","",IFERROR(INDEX(tblProductos[STOCK_ACTUAL],MATCH(E310,tblProductos[ITEM],0)),""))</f>
        <v/>
      </c>
    </row>
    <row r="311" spans="1:19" x14ac:dyDescent="0.3">
      <c r="A311" s="40"/>
      <c r="B311" s="14" t="str">
        <f t="shared" si="20"/>
        <v/>
      </c>
      <c r="C311" s="14" t="str">
        <f>IF(D311="","",IFERROR(INDEX(tblClientes[ID],MATCH(D311,tblClientes[NOMBRE],0)),""))</f>
        <v/>
      </c>
      <c r="D311" s="14"/>
      <c r="E311" s="14"/>
      <c r="F311" s="14" t="str">
        <f>IF(E311="","",IFERROR(INDEX(tblProductos[CATEGORIA],MATCH(E311,tblProductos[ITEM],0)),""))</f>
        <v/>
      </c>
      <c r="G311" s="15"/>
      <c r="H311" s="16"/>
      <c r="I311" s="16" t="str">
        <f>IF(E311="","",IFERROR(INDEX(tblProductos[PRECIO_VENTA],MATCH(E311,tblProductos[ITEM],0)),""))</f>
        <v/>
      </c>
      <c r="J311" s="16" t="str">
        <f t="shared" si="21"/>
        <v/>
      </c>
      <c r="K311" s="16" t="str">
        <f t="shared" si="22"/>
        <v/>
      </c>
      <c r="L311" s="16" t="str">
        <f>IF(E311="","",IFERROR(INDEX(tblProductos[COSTO TOTAL],MATCH(E311,tblProductos[ITEM],0)),""))</f>
        <v/>
      </c>
      <c r="M311" s="16" t="str">
        <f t="shared" si="23"/>
        <v/>
      </c>
      <c r="N311" s="16" t="str">
        <f t="shared" si="24"/>
        <v/>
      </c>
      <c r="O311" s="14" t="s">
        <v>34</v>
      </c>
      <c r="P311" s="14" t="s">
        <v>35</v>
      </c>
      <c r="Q311" s="14" t="s">
        <v>36</v>
      </c>
      <c r="R311" s="14"/>
      <c r="S311" t="str">
        <f>IF(E311="","",IFERROR(INDEX(tblProductos[STOCK_ACTUAL],MATCH(E311,tblProductos[ITEM],0)),""))</f>
        <v/>
      </c>
    </row>
    <row r="312" spans="1:19" x14ac:dyDescent="0.3">
      <c r="A312" s="40"/>
      <c r="B312" s="14" t="str">
        <f t="shared" si="20"/>
        <v/>
      </c>
      <c r="C312" s="14" t="str">
        <f>IF(D312="","",IFERROR(INDEX(tblClientes[ID],MATCH(D312,tblClientes[NOMBRE],0)),""))</f>
        <v/>
      </c>
      <c r="D312" s="14"/>
      <c r="E312" s="14"/>
      <c r="F312" s="14" t="str">
        <f>IF(E312="","",IFERROR(INDEX(tblProductos[CATEGORIA],MATCH(E312,tblProductos[ITEM],0)),""))</f>
        <v/>
      </c>
      <c r="G312" s="15"/>
      <c r="H312" s="16"/>
      <c r="I312" s="16" t="str">
        <f>IF(E312="","",IFERROR(INDEX(tblProductos[PRECIO_VENTA],MATCH(E312,tblProductos[ITEM],0)),""))</f>
        <v/>
      </c>
      <c r="J312" s="16" t="str">
        <f t="shared" si="21"/>
        <v/>
      </c>
      <c r="K312" s="16" t="str">
        <f t="shared" si="22"/>
        <v/>
      </c>
      <c r="L312" s="16" t="str">
        <f>IF(E312="","",IFERROR(INDEX(tblProductos[COSTO TOTAL],MATCH(E312,tblProductos[ITEM],0)),""))</f>
        <v/>
      </c>
      <c r="M312" s="16" t="str">
        <f t="shared" si="23"/>
        <v/>
      </c>
      <c r="N312" s="16" t="str">
        <f t="shared" si="24"/>
        <v/>
      </c>
      <c r="O312" s="14" t="s">
        <v>34</v>
      </c>
      <c r="P312" s="14" t="s">
        <v>35</v>
      </c>
      <c r="Q312" s="14" t="s">
        <v>36</v>
      </c>
      <c r="R312" s="14"/>
      <c r="S312" t="str">
        <f>IF(E312="","",IFERROR(INDEX(tblProductos[STOCK_ACTUAL],MATCH(E312,tblProductos[ITEM],0)),""))</f>
        <v/>
      </c>
    </row>
    <row r="313" spans="1:19" x14ac:dyDescent="0.3">
      <c r="A313" s="40"/>
      <c r="B313" s="14" t="str">
        <f t="shared" si="20"/>
        <v/>
      </c>
      <c r="C313" s="14" t="str">
        <f>IF(D313="","",IFERROR(INDEX(tblClientes[ID],MATCH(D313,tblClientes[NOMBRE],0)),""))</f>
        <v/>
      </c>
      <c r="D313" s="14"/>
      <c r="E313" s="14"/>
      <c r="F313" s="14" t="str">
        <f>IF(E313="","",IFERROR(INDEX(tblProductos[CATEGORIA],MATCH(E313,tblProductos[ITEM],0)),""))</f>
        <v/>
      </c>
      <c r="G313" s="15"/>
      <c r="H313" s="16"/>
      <c r="I313" s="16" t="str">
        <f>IF(E313="","",IFERROR(INDEX(tblProductos[PRECIO_VENTA],MATCH(E313,tblProductos[ITEM],0)),""))</f>
        <v/>
      </c>
      <c r="J313" s="16" t="str">
        <f t="shared" si="21"/>
        <v/>
      </c>
      <c r="K313" s="16" t="str">
        <f t="shared" si="22"/>
        <v/>
      </c>
      <c r="L313" s="16" t="str">
        <f>IF(E313="","",IFERROR(INDEX(tblProductos[COSTO TOTAL],MATCH(E313,tblProductos[ITEM],0)),""))</f>
        <v/>
      </c>
      <c r="M313" s="16" t="str">
        <f t="shared" si="23"/>
        <v/>
      </c>
      <c r="N313" s="16" t="str">
        <f t="shared" si="24"/>
        <v/>
      </c>
      <c r="O313" s="14" t="s">
        <v>34</v>
      </c>
      <c r="P313" s="14" t="s">
        <v>35</v>
      </c>
      <c r="Q313" s="14" t="s">
        <v>36</v>
      </c>
      <c r="R313" s="14"/>
      <c r="S313" t="str">
        <f>IF(E313="","",IFERROR(INDEX(tblProductos[STOCK_ACTUAL],MATCH(E313,tblProductos[ITEM],0)),""))</f>
        <v/>
      </c>
    </row>
    <row r="314" spans="1:19" x14ac:dyDescent="0.3">
      <c r="A314" s="40"/>
      <c r="B314" s="14" t="str">
        <f t="shared" si="20"/>
        <v/>
      </c>
      <c r="C314" s="14" t="str">
        <f>IF(D314="","",IFERROR(INDEX(tblClientes[ID],MATCH(D314,tblClientes[NOMBRE],0)),""))</f>
        <v/>
      </c>
      <c r="D314" s="14"/>
      <c r="E314" s="14"/>
      <c r="F314" s="14" t="str">
        <f>IF(E314="","",IFERROR(INDEX(tblProductos[CATEGORIA],MATCH(E314,tblProductos[ITEM],0)),""))</f>
        <v/>
      </c>
      <c r="G314" s="15"/>
      <c r="H314" s="16"/>
      <c r="I314" s="16" t="str">
        <f>IF(E314="","",IFERROR(INDEX(tblProductos[PRECIO_VENTA],MATCH(E314,tblProductos[ITEM],0)),""))</f>
        <v/>
      </c>
      <c r="J314" s="16" t="str">
        <f t="shared" si="21"/>
        <v/>
      </c>
      <c r="K314" s="16" t="str">
        <f t="shared" si="22"/>
        <v/>
      </c>
      <c r="L314" s="16" t="str">
        <f>IF(E314="","",IFERROR(INDEX(tblProductos[COSTO TOTAL],MATCH(E314,tblProductos[ITEM],0)),""))</f>
        <v/>
      </c>
      <c r="M314" s="16" t="str">
        <f t="shared" si="23"/>
        <v/>
      </c>
      <c r="N314" s="16" t="str">
        <f t="shared" si="24"/>
        <v/>
      </c>
      <c r="O314" s="14" t="s">
        <v>34</v>
      </c>
      <c r="P314" s="14" t="s">
        <v>35</v>
      </c>
      <c r="Q314" s="14" t="s">
        <v>36</v>
      </c>
      <c r="R314" s="14"/>
      <c r="S314" t="str">
        <f>IF(E314="","",IFERROR(INDEX(tblProductos[STOCK_ACTUAL],MATCH(E314,tblProductos[ITEM],0)),""))</f>
        <v/>
      </c>
    </row>
    <row r="315" spans="1:19" x14ac:dyDescent="0.3">
      <c r="A315" s="40"/>
      <c r="B315" s="14" t="str">
        <f t="shared" si="20"/>
        <v/>
      </c>
      <c r="C315" s="14" t="str">
        <f>IF(D315="","",IFERROR(INDEX(tblClientes[ID],MATCH(D315,tblClientes[NOMBRE],0)),""))</f>
        <v/>
      </c>
      <c r="D315" s="14"/>
      <c r="E315" s="14"/>
      <c r="F315" s="14" t="str">
        <f>IF(E315="","",IFERROR(INDEX(tblProductos[CATEGORIA],MATCH(E315,tblProductos[ITEM],0)),""))</f>
        <v/>
      </c>
      <c r="G315" s="15"/>
      <c r="H315" s="16"/>
      <c r="I315" s="16" t="str">
        <f>IF(E315="","",IFERROR(INDEX(tblProductos[PRECIO_VENTA],MATCH(E315,tblProductos[ITEM],0)),""))</f>
        <v/>
      </c>
      <c r="J315" s="16" t="str">
        <f t="shared" si="21"/>
        <v/>
      </c>
      <c r="K315" s="16" t="str">
        <f t="shared" si="22"/>
        <v/>
      </c>
      <c r="L315" s="16" t="str">
        <f>IF(E315="","",IFERROR(INDEX(tblProductos[COSTO TOTAL],MATCH(E315,tblProductos[ITEM],0)),""))</f>
        <v/>
      </c>
      <c r="M315" s="16" t="str">
        <f t="shared" si="23"/>
        <v/>
      </c>
      <c r="N315" s="16" t="str">
        <f t="shared" si="24"/>
        <v/>
      </c>
      <c r="O315" s="14" t="s">
        <v>34</v>
      </c>
      <c r="P315" s="14" t="s">
        <v>35</v>
      </c>
      <c r="Q315" s="14" t="s">
        <v>36</v>
      </c>
      <c r="R315" s="14"/>
      <c r="S315" t="str">
        <f>IF(E315="","",IFERROR(INDEX(tblProductos[STOCK_ACTUAL],MATCH(E315,tblProductos[ITEM],0)),""))</f>
        <v/>
      </c>
    </row>
    <row r="316" spans="1:19" x14ac:dyDescent="0.3">
      <c r="A316" s="40"/>
      <c r="B316" s="14" t="str">
        <f t="shared" si="20"/>
        <v/>
      </c>
      <c r="C316" s="14" t="str">
        <f>IF(D316="","",IFERROR(INDEX(tblClientes[ID],MATCH(D316,tblClientes[NOMBRE],0)),""))</f>
        <v/>
      </c>
      <c r="D316" s="14"/>
      <c r="E316" s="14"/>
      <c r="F316" s="14" t="str">
        <f>IF(E316="","",IFERROR(INDEX(tblProductos[CATEGORIA],MATCH(E316,tblProductos[ITEM],0)),""))</f>
        <v/>
      </c>
      <c r="G316" s="15"/>
      <c r="H316" s="16"/>
      <c r="I316" s="16" t="str">
        <f>IF(E316="","",IFERROR(INDEX(tblProductos[PRECIO_VENTA],MATCH(E316,tblProductos[ITEM],0)),""))</f>
        <v/>
      </c>
      <c r="J316" s="16" t="str">
        <f t="shared" si="21"/>
        <v/>
      </c>
      <c r="K316" s="16" t="str">
        <f t="shared" si="22"/>
        <v/>
      </c>
      <c r="L316" s="16" t="str">
        <f>IF(E316="","",IFERROR(INDEX(tblProductos[COSTO TOTAL],MATCH(E316,tblProductos[ITEM],0)),""))</f>
        <v/>
      </c>
      <c r="M316" s="16" t="str">
        <f t="shared" si="23"/>
        <v/>
      </c>
      <c r="N316" s="16" t="str">
        <f t="shared" si="24"/>
        <v/>
      </c>
      <c r="O316" s="14" t="s">
        <v>34</v>
      </c>
      <c r="P316" s="14" t="s">
        <v>35</v>
      </c>
      <c r="Q316" s="14" t="s">
        <v>36</v>
      </c>
      <c r="R316" s="14"/>
      <c r="S316" t="str">
        <f>IF(E316="","",IFERROR(INDEX(tblProductos[STOCK_ACTUAL],MATCH(E316,tblProductos[ITEM],0)),""))</f>
        <v/>
      </c>
    </row>
    <row r="317" spans="1:19" x14ac:dyDescent="0.3">
      <c r="A317" s="40"/>
      <c r="B317" s="14" t="str">
        <f t="shared" si="20"/>
        <v/>
      </c>
      <c r="C317" s="14" t="str">
        <f>IF(D317="","",IFERROR(INDEX(tblClientes[ID],MATCH(D317,tblClientes[NOMBRE],0)),""))</f>
        <v/>
      </c>
      <c r="D317" s="14"/>
      <c r="E317" s="14"/>
      <c r="F317" s="14" t="str">
        <f>IF(E317="","",IFERROR(INDEX(tblProductos[CATEGORIA],MATCH(E317,tblProductos[ITEM],0)),""))</f>
        <v/>
      </c>
      <c r="G317" s="15"/>
      <c r="H317" s="16"/>
      <c r="I317" s="16" t="str">
        <f>IF(E317="","",IFERROR(INDEX(tblProductos[PRECIO_VENTA],MATCH(E317,tblProductos[ITEM],0)),""))</f>
        <v/>
      </c>
      <c r="J317" s="16" t="str">
        <f t="shared" si="21"/>
        <v/>
      </c>
      <c r="K317" s="16" t="str">
        <f t="shared" si="22"/>
        <v/>
      </c>
      <c r="L317" s="16" t="str">
        <f>IF(E317="","",IFERROR(INDEX(tblProductos[COSTO TOTAL],MATCH(E317,tblProductos[ITEM],0)),""))</f>
        <v/>
      </c>
      <c r="M317" s="16" t="str">
        <f t="shared" si="23"/>
        <v/>
      </c>
      <c r="N317" s="16" t="str">
        <f t="shared" si="24"/>
        <v/>
      </c>
      <c r="O317" s="14" t="s">
        <v>34</v>
      </c>
      <c r="P317" s="14" t="s">
        <v>35</v>
      </c>
      <c r="Q317" s="14" t="s">
        <v>36</v>
      </c>
      <c r="R317" s="14"/>
      <c r="S317" t="str">
        <f>IF(E317="","",IFERROR(INDEX(tblProductos[STOCK_ACTUAL],MATCH(E317,tblProductos[ITEM],0)),""))</f>
        <v/>
      </c>
    </row>
    <row r="318" spans="1:19" x14ac:dyDescent="0.3">
      <c r="A318" s="40"/>
      <c r="B318" s="14" t="str">
        <f t="shared" si="20"/>
        <v/>
      </c>
      <c r="C318" s="14" t="str">
        <f>IF(D318="","",IFERROR(INDEX(tblClientes[ID],MATCH(D318,tblClientes[NOMBRE],0)),""))</f>
        <v/>
      </c>
      <c r="D318" s="14"/>
      <c r="E318" s="14"/>
      <c r="F318" s="14" t="str">
        <f>IF(E318="","",IFERROR(INDEX(tblProductos[CATEGORIA],MATCH(E318,tblProductos[ITEM],0)),""))</f>
        <v/>
      </c>
      <c r="G318" s="15"/>
      <c r="H318" s="16"/>
      <c r="I318" s="16" t="str">
        <f>IF(E318="","",IFERROR(INDEX(tblProductos[PRECIO_VENTA],MATCH(E318,tblProductos[ITEM],0)),""))</f>
        <v/>
      </c>
      <c r="J318" s="16" t="str">
        <f t="shared" si="21"/>
        <v/>
      </c>
      <c r="K318" s="16" t="str">
        <f t="shared" si="22"/>
        <v/>
      </c>
      <c r="L318" s="16" t="str">
        <f>IF(E318="","",IFERROR(INDEX(tblProductos[COSTO TOTAL],MATCH(E318,tblProductos[ITEM],0)),""))</f>
        <v/>
      </c>
      <c r="M318" s="16" t="str">
        <f t="shared" si="23"/>
        <v/>
      </c>
      <c r="N318" s="16" t="str">
        <f t="shared" si="24"/>
        <v/>
      </c>
      <c r="O318" s="14" t="s">
        <v>34</v>
      </c>
      <c r="P318" s="14" t="s">
        <v>35</v>
      </c>
      <c r="Q318" s="14" t="s">
        <v>36</v>
      </c>
      <c r="R318" s="14"/>
      <c r="S318" t="str">
        <f>IF(E318="","",IFERROR(INDEX(tblProductos[STOCK_ACTUAL],MATCH(E318,tblProductos[ITEM],0)),""))</f>
        <v/>
      </c>
    </row>
    <row r="319" spans="1:19" x14ac:dyDescent="0.3">
      <c r="A319" s="40"/>
      <c r="B319" s="14" t="str">
        <f t="shared" si="20"/>
        <v/>
      </c>
      <c r="C319" s="14" t="str">
        <f>IF(D319="","",IFERROR(INDEX(tblClientes[ID],MATCH(D319,tblClientes[NOMBRE],0)),""))</f>
        <v/>
      </c>
      <c r="D319" s="14"/>
      <c r="E319" s="14"/>
      <c r="F319" s="14" t="str">
        <f>IF(E319="","",IFERROR(INDEX(tblProductos[CATEGORIA],MATCH(E319,tblProductos[ITEM],0)),""))</f>
        <v/>
      </c>
      <c r="G319" s="15"/>
      <c r="H319" s="16"/>
      <c r="I319" s="16" t="str">
        <f>IF(E319="","",IFERROR(INDEX(tblProductos[PRECIO_VENTA],MATCH(E319,tblProductos[ITEM],0)),""))</f>
        <v/>
      </c>
      <c r="J319" s="16" t="str">
        <f t="shared" si="21"/>
        <v/>
      </c>
      <c r="K319" s="16" t="str">
        <f t="shared" si="22"/>
        <v/>
      </c>
      <c r="L319" s="16" t="str">
        <f>IF(E319="","",IFERROR(INDEX(tblProductos[COSTO TOTAL],MATCH(E319,tblProductos[ITEM],0)),""))</f>
        <v/>
      </c>
      <c r="M319" s="16" t="str">
        <f t="shared" si="23"/>
        <v/>
      </c>
      <c r="N319" s="16" t="str">
        <f t="shared" si="24"/>
        <v/>
      </c>
      <c r="O319" s="14" t="s">
        <v>34</v>
      </c>
      <c r="P319" s="14" t="s">
        <v>35</v>
      </c>
      <c r="Q319" s="14" t="s">
        <v>36</v>
      </c>
      <c r="R319" s="14"/>
      <c r="S319" t="str">
        <f>IF(E319="","",IFERROR(INDEX(tblProductos[STOCK_ACTUAL],MATCH(E319,tblProductos[ITEM],0)),""))</f>
        <v/>
      </c>
    </row>
    <row r="320" spans="1:19" x14ac:dyDescent="0.3">
      <c r="A320" s="40"/>
      <c r="B320" s="14" t="str">
        <f t="shared" si="20"/>
        <v/>
      </c>
      <c r="C320" s="14" t="str">
        <f>IF(D320="","",IFERROR(INDEX(tblClientes[ID],MATCH(D320,tblClientes[NOMBRE],0)),""))</f>
        <v/>
      </c>
      <c r="D320" s="14"/>
      <c r="E320" s="14"/>
      <c r="F320" s="14" t="str">
        <f>IF(E320="","",IFERROR(INDEX(tblProductos[CATEGORIA],MATCH(E320,tblProductos[ITEM],0)),""))</f>
        <v/>
      </c>
      <c r="G320" s="15"/>
      <c r="H320" s="16"/>
      <c r="I320" s="16" t="str">
        <f>IF(E320="","",IFERROR(INDEX(tblProductos[PRECIO_VENTA],MATCH(E320,tblProductos[ITEM],0)),""))</f>
        <v/>
      </c>
      <c r="J320" s="16" t="str">
        <f t="shared" si="21"/>
        <v/>
      </c>
      <c r="K320" s="16" t="str">
        <f t="shared" si="22"/>
        <v/>
      </c>
      <c r="L320" s="16" t="str">
        <f>IF(E320="","",IFERROR(INDEX(tblProductos[COSTO TOTAL],MATCH(E320,tblProductos[ITEM],0)),""))</f>
        <v/>
      </c>
      <c r="M320" s="16" t="str">
        <f t="shared" si="23"/>
        <v/>
      </c>
      <c r="N320" s="16" t="str">
        <f t="shared" si="24"/>
        <v/>
      </c>
      <c r="O320" s="14" t="s">
        <v>34</v>
      </c>
      <c r="P320" s="14" t="s">
        <v>35</v>
      </c>
      <c r="Q320" s="14" t="s">
        <v>36</v>
      </c>
      <c r="R320" s="14"/>
      <c r="S320" t="str">
        <f>IF(E320="","",IFERROR(INDEX(tblProductos[STOCK_ACTUAL],MATCH(E320,tblProductos[ITEM],0)),""))</f>
        <v/>
      </c>
    </row>
    <row r="321" spans="1:19" x14ac:dyDescent="0.3">
      <c r="A321" s="40"/>
      <c r="B321" s="14" t="str">
        <f t="shared" si="20"/>
        <v/>
      </c>
      <c r="C321" s="14" t="str">
        <f>IF(D321="","",IFERROR(INDEX(tblClientes[ID],MATCH(D321,tblClientes[NOMBRE],0)),""))</f>
        <v/>
      </c>
      <c r="D321" s="14"/>
      <c r="E321" s="14"/>
      <c r="F321" s="14" t="str">
        <f>IF(E321="","",IFERROR(INDEX(tblProductos[CATEGORIA],MATCH(E321,tblProductos[ITEM],0)),""))</f>
        <v/>
      </c>
      <c r="G321" s="15"/>
      <c r="H321" s="16"/>
      <c r="I321" s="16" t="str">
        <f>IF(E321="","",IFERROR(INDEX(tblProductos[PRECIO_VENTA],MATCH(E321,tblProductos[ITEM],0)),""))</f>
        <v/>
      </c>
      <c r="J321" s="16" t="str">
        <f t="shared" si="21"/>
        <v/>
      </c>
      <c r="K321" s="16" t="str">
        <f t="shared" si="22"/>
        <v/>
      </c>
      <c r="L321" s="16" t="str">
        <f>IF(E321="","",IFERROR(INDEX(tblProductos[COSTO TOTAL],MATCH(E321,tblProductos[ITEM],0)),""))</f>
        <v/>
      </c>
      <c r="M321" s="16" t="str">
        <f t="shared" si="23"/>
        <v/>
      </c>
      <c r="N321" s="16" t="str">
        <f t="shared" si="24"/>
        <v/>
      </c>
      <c r="O321" s="14" t="s">
        <v>34</v>
      </c>
      <c r="P321" s="14" t="s">
        <v>35</v>
      </c>
      <c r="Q321" s="14" t="s">
        <v>36</v>
      </c>
      <c r="R321" s="14"/>
      <c r="S321" t="str">
        <f>IF(E321="","",IFERROR(INDEX(tblProductos[STOCK_ACTUAL],MATCH(E321,tblProductos[ITEM],0)),""))</f>
        <v/>
      </c>
    </row>
    <row r="322" spans="1:19" x14ac:dyDescent="0.3">
      <c r="A322" s="40"/>
      <c r="B322" s="14" t="str">
        <f t="shared" ref="B322:B385" si="25">IF(A322="","", "V"&amp;TEXT(A322,"yymmdd")&amp;"-"&amp;TEXT(ROW()-1,"0000"))</f>
        <v/>
      </c>
      <c r="C322" s="14" t="str">
        <f>IF(D322="","",IFERROR(INDEX(tblClientes[ID],MATCH(D322,tblClientes[NOMBRE],0)),""))</f>
        <v/>
      </c>
      <c r="D322" s="14"/>
      <c r="E322" s="14"/>
      <c r="F322" s="14" t="str">
        <f>IF(E322="","",IFERROR(INDEX(tblProductos[CATEGORIA],MATCH(E322,tblProductos[ITEM],0)),""))</f>
        <v/>
      </c>
      <c r="G322" s="15"/>
      <c r="H322" s="16"/>
      <c r="I322" s="16" t="str">
        <f>IF(E322="","",IFERROR(INDEX(tblProductos[PRECIO_VENTA],MATCH(E322,tblProductos[ITEM],0)),""))</f>
        <v/>
      </c>
      <c r="J322" s="16" t="str">
        <f t="shared" ref="J322:J385" si="26">IF(H322="",I322,H322)</f>
        <v/>
      </c>
      <c r="K322" s="16" t="str">
        <f t="shared" ref="K322:K385" si="27">IF(G322="","",G322*J322)</f>
        <v/>
      </c>
      <c r="L322" s="16" t="str">
        <f>IF(E322="","",IFERROR(INDEX(tblProductos[COSTO TOTAL],MATCH(E322,tblProductos[ITEM],0)),""))</f>
        <v/>
      </c>
      <c r="M322" s="16" t="str">
        <f t="shared" ref="M322:M385" si="28">IF(G322="","",G322*L322)</f>
        <v/>
      </c>
      <c r="N322" s="16" t="str">
        <f t="shared" ref="N322:N385" si="29">IF(K322="","",K322-M322)</f>
        <v/>
      </c>
      <c r="O322" s="14" t="s">
        <v>34</v>
      </c>
      <c r="P322" s="14" t="s">
        <v>35</v>
      </c>
      <c r="Q322" s="14" t="s">
        <v>36</v>
      </c>
      <c r="R322" s="14"/>
      <c r="S322" t="str">
        <f>IF(E322="","",IFERROR(INDEX(tblProductos[STOCK_ACTUAL],MATCH(E322,tblProductos[ITEM],0)),""))</f>
        <v/>
      </c>
    </row>
    <row r="323" spans="1:19" x14ac:dyDescent="0.3">
      <c r="A323" s="40"/>
      <c r="B323" s="14" t="str">
        <f t="shared" si="25"/>
        <v/>
      </c>
      <c r="C323" s="14" t="str">
        <f>IF(D323="","",IFERROR(INDEX(tblClientes[ID],MATCH(D323,tblClientes[NOMBRE],0)),""))</f>
        <v/>
      </c>
      <c r="D323" s="14"/>
      <c r="E323" s="14"/>
      <c r="F323" s="14" t="str">
        <f>IF(E323="","",IFERROR(INDEX(tblProductos[CATEGORIA],MATCH(E323,tblProductos[ITEM],0)),""))</f>
        <v/>
      </c>
      <c r="G323" s="15"/>
      <c r="H323" s="16"/>
      <c r="I323" s="16" t="str">
        <f>IF(E323="","",IFERROR(INDEX(tblProductos[PRECIO_VENTA],MATCH(E323,tblProductos[ITEM],0)),""))</f>
        <v/>
      </c>
      <c r="J323" s="16" t="str">
        <f t="shared" si="26"/>
        <v/>
      </c>
      <c r="K323" s="16" t="str">
        <f t="shared" si="27"/>
        <v/>
      </c>
      <c r="L323" s="16" t="str">
        <f>IF(E323="","",IFERROR(INDEX(tblProductos[COSTO TOTAL],MATCH(E323,tblProductos[ITEM],0)),""))</f>
        <v/>
      </c>
      <c r="M323" s="16" t="str">
        <f t="shared" si="28"/>
        <v/>
      </c>
      <c r="N323" s="16" t="str">
        <f t="shared" si="29"/>
        <v/>
      </c>
      <c r="O323" s="14" t="s">
        <v>34</v>
      </c>
      <c r="P323" s="14" t="s">
        <v>35</v>
      </c>
      <c r="Q323" s="14" t="s">
        <v>36</v>
      </c>
      <c r="R323" s="14"/>
      <c r="S323" t="str">
        <f>IF(E323="","",IFERROR(INDEX(tblProductos[STOCK_ACTUAL],MATCH(E323,tblProductos[ITEM],0)),""))</f>
        <v/>
      </c>
    </row>
    <row r="324" spans="1:19" x14ac:dyDescent="0.3">
      <c r="A324" s="40"/>
      <c r="B324" s="14" t="str">
        <f t="shared" si="25"/>
        <v/>
      </c>
      <c r="C324" s="14" t="str">
        <f>IF(D324="","",IFERROR(INDEX(tblClientes[ID],MATCH(D324,tblClientes[NOMBRE],0)),""))</f>
        <v/>
      </c>
      <c r="D324" s="14"/>
      <c r="E324" s="14"/>
      <c r="F324" s="14" t="str">
        <f>IF(E324="","",IFERROR(INDEX(tblProductos[CATEGORIA],MATCH(E324,tblProductos[ITEM],0)),""))</f>
        <v/>
      </c>
      <c r="G324" s="15"/>
      <c r="H324" s="16"/>
      <c r="I324" s="16" t="str">
        <f>IF(E324="","",IFERROR(INDEX(tblProductos[PRECIO_VENTA],MATCH(E324,tblProductos[ITEM],0)),""))</f>
        <v/>
      </c>
      <c r="J324" s="16" t="str">
        <f t="shared" si="26"/>
        <v/>
      </c>
      <c r="K324" s="16" t="str">
        <f t="shared" si="27"/>
        <v/>
      </c>
      <c r="L324" s="16" t="str">
        <f>IF(E324="","",IFERROR(INDEX(tblProductos[COSTO TOTAL],MATCH(E324,tblProductos[ITEM],0)),""))</f>
        <v/>
      </c>
      <c r="M324" s="16" t="str">
        <f t="shared" si="28"/>
        <v/>
      </c>
      <c r="N324" s="16" t="str">
        <f t="shared" si="29"/>
        <v/>
      </c>
      <c r="O324" s="14" t="s">
        <v>34</v>
      </c>
      <c r="P324" s="14" t="s">
        <v>35</v>
      </c>
      <c r="Q324" s="14" t="s">
        <v>36</v>
      </c>
      <c r="R324" s="14"/>
      <c r="S324" t="str">
        <f>IF(E324="","",IFERROR(INDEX(tblProductos[STOCK_ACTUAL],MATCH(E324,tblProductos[ITEM],0)),""))</f>
        <v/>
      </c>
    </row>
    <row r="325" spans="1:19" x14ac:dyDescent="0.3">
      <c r="A325" s="40"/>
      <c r="B325" s="14" t="str">
        <f t="shared" si="25"/>
        <v/>
      </c>
      <c r="C325" s="14" t="str">
        <f>IF(D325="","",IFERROR(INDEX(tblClientes[ID],MATCH(D325,tblClientes[NOMBRE],0)),""))</f>
        <v/>
      </c>
      <c r="D325" s="14"/>
      <c r="E325" s="14"/>
      <c r="F325" s="14" t="str">
        <f>IF(E325="","",IFERROR(INDEX(tblProductos[CATEGORIA],MATCH(E325,tblProductos[ITEM],0)),""))</f>
        <v/>
      </c>
      <c r="G325" s="15"/>
      <c r="H325" s="16"/>
      <c r="I325" s="16" t="str">
        <f>IF(E325="","",IFERROR(INDEX(tblProductos[PRECIO_VENTA],MATCH(E325,tblProductos[ITEM],0)),""))</f>
        <v/>
      </c>
      <c r="J325" s="16" t="str">
        <f t="shared" si="26"/>
        <v/>
      </c>
      <c r="K325" s="16" t="str">
        <f t="shared" si="27"/>
        <v/>
      </c>
      <c r="L325" s="16" t="str">
        <f>IF(E325="","",IFERROR(INDEX(tblProductos[COSTO TOTAL],MATCH(E325,tblProductos[ITEM],0)),""))</f>
        <v/>
      </c>
      <c r="M325" s="16" t="str">
        <f t="shared" si="28"/>
        <v/>
      </c>
      <c r="N325" s="16" t="str">
        <f t="shared" si="29"/>
        <v/>
      </c>
      <c r="O325" s="14" t="s">
        <v>34</v>
      </c>
      <c r="P325" s="14" t="s">
        <v>35</v>
      </c>
      <c r="Q325" s="14" t="s">
        <v>36</v>
      </c>
      <c r="R325" s="14"/>
      <c r="S325" t="str">
        <f>IF(E325="","",IFERROR(INDEX(tblProductos[STOCK_ACTUAL],MATCH(E325,tblProductos[ITEM],0)),""))</f>
        <v/>
      </c>
    </row>
    <row r="326" spans="1:19" x14ac:dyDescent="0.3">
      <c r="A326" s="40"/>
      <c r="B326" s="14" t="str">
        <f t="shared" si="25"/>
        <v/>
      </c>
      <c r="C326" s="14" t="str">
        <f>IF(D326="","",IFERROR(INDEX(tblClientes[ID],MATCH(D326,tblClientes[NOMBRE],0)),""))</f>
        <v/>
      </c>
      <c r="D326" s="14"/>
      <c r="E326" s="14"/>
      <c r="F326" s="14" t="str">
        <f>IF(E326="","",IFERROR(INDEX(tblProductos[CATEGORIA],MATCH(E326,tblProductos[ITEM],0)),""))</f>
        <v/>
      </c>
      <c r="G326" s="15"/>
      <c r="H326" s="16"/>
      <c r="I326" s="16" t="str">
        <f>IF(E326="","",IFERROR(INDEX(tblProductos[PRECIO_VENTA],MATCH(E326,tblProductos[ITEM],0)),""))</f>
        <v/>
      </c>
      <c r="J326" s="16" t="str">
        <f t="shared" si="26"/>
        <v/>
      </c>
      <c r="K326" s="16" t="str">
        <f t="shared" si="27"/>
        <v/>
      </c>
      <c r="L326" s="16" t="str">
        <f>IF(E326="","",IFERROR(INDEX(tblProductos[COSTO TOTAL],MATCH(E326,tblProductos[ITEM],0)),""))</f>
        <v/>
      </c>
      <c r="M326" s="16" t="str">
        <f t="shared" si="28"/>
        <v/>
      </c>
      <c r="N326" s="16" t="str">
        <f t="shared" si="29"/>
        <v/>
      </c>
      <c r="O326" s="14" t="s">
        <v>34</v>
      </c>
      <c r="P326" s="14" t="s">
        <v>35</v>
      </c>
      <c r="Q326" s="14" t="s">
        <v>36</v>
      </c>
      <c r="R326" s="14"/>
      <c r="S326" t="str">
        <f>IF(E326="","",IFERROR(INDEX(tblProductos[STOCK_ACTUAL],MATCH(E326,tblProductos[ITEM],0)),""))</f>
        <v/>
      </c>
    </row>
    <row r="327" spans="1:19" x14ac:dyDescent="0.3">
      <c r="A327" s="40"/>
      <c r="B327" s="14" t="str">
        <f t="shared" si="25"/>
        <v/>
      </c>
      <c r="C327" s="14" t="str">
        <f>IF(D327="","",IFERROR(INDEX(tblClientes[ID],MATCH(D327,tblClientes[NOMBRE],0)),""))</f>
        <v/>
      </c>
      <c r="D327" s="14"/>
      <c r="E327" s="14"/>
      <c r="F327" s="14" t="str">
        <f>IF(E327="","",IFERROR(INDEX(tblProductos[CATEGORIA],MATCH(E327,tblProductos[ITEM],0)),""))</f>
        <v/>
      </c>
      <c r="G327" s="15"/>
      <c r="H327" s="16"/>
      <c r="I327" s="16" t="str">
        <f>IF(E327="","",IFERROR(INDEX(tblProductos[PRECIO_VENTA],MATCH(E327,tblProductos[ITEM],0)),""))</f>
        <v/>
      </c>
      <c r="J327" s="16" t="str">
        <f t="shared" si="26"/>
        <v/>
      </c>
      <c r="K327" s="16" t="str">
        <f t="shared" si="27"/>
        <v/>
      </c>
      <c r="L327" s="16" t="str">
        <f>IF(E327="","",IFERROR(INDEX(tblProductos[COSTO TOTAL],MATCH(E327,tblProductos[ITEM],0)),""))</f>
        <v/>
      </c>
      <c r="M327" s="16" t="str">
        <f t="shared" si="28"/>
        <v/>
      </c>
      <c r="N327" s="16" t="str">
        <f t="shared" si="29"/>
        <v/>
      </c>
      <c r="O327" s="14" t="s">
        <v>34</v>
      </c>
      <c r="P327" s="14" t="s">
        <v>35</v>
      </c>
      <c r="Q327" s="14" t="s">
        <v>36</v>
      </c>
      <c r="R327" s="14"/>
      <c r="S327" t="str">
        <f>IF(E327="","",IFERROR(INDEX(tblProductos[STOCK_ACTUAL],MATCH(E327,tblProductos[ITEM],0)),""))</f>
        <v/>
      </c>
    </row>
    <row r="328" spans="1:19" x14ac:dyDescent="0.3">
      <c r="A328" s="40"/>
      <c r="B328" s="14" t="str">
        <f t="shared" si="25"/>
        <v/>
      </c>
      <c r="C328" s="14" t="str">
        <f>IF(D328="","",IFERROR(INDEX(tblClientes[ID],MATCH(D328,tblClientes[NOMBRE],0)),""))</f>
        <v/>
      </c>
      <c r="D328" s="14"/>
      <c r="E328" s="14"/>
      <c r="F328" s="14" t="str">
        <f>IF(E328="","",IFERROR(INDEX(tblProductos[CATEGORIA],MATCH(E328,tblProductos[ITEM],0)),""))</f>
        <v/>
      </c>
      <c r="G328" s="15"/>
      <c r="H328" s="16"/>
      <c r="I328" s="16" t="str">
        <f>IF(E328="","",IFERROR(INDEX(tblProductos[PRECIO_VENTA],MATCH(E328,tblProductos[ITEM],0)),""))</f>
        <v/>
      </c>
      <c r="J328" s="16" t="str">
        <f t="shared" si="26"/>
        <v/>
      </c>
      <c r="K328" s="16" t="str">
        <f t="shared" si="27"/>
        <v/>
      </c>
      <c r="L328" s="16" t="str">
        <f>IF(E328="","",IFERROR(INDEX(tblProductos[COSTO TOTAL],MATCH(E328,tblProductos[ITEM],0)),""))</f>
        <v/>
      </c>
      <c r="M328" s="16" t="str">
        <f t="shared" si="28"/>
        <v/>
      </c>
      <c r="N328" s="16" t="str">
        <f t="shared" si="29"/>
        <v/>
      </c>
      <c r="O328" s="14" t="s">
        <v>34</v>
      </c>
      <c r="P328" s="14" t="s">
        <v>35</v>
      </c>
      <c r="Q328" s="14" t="s">
        <v>36</v>
      </c>
      <c r="R328" s="14"/>
      <c r="S328" t="str">
        <f>IF(E328="","",IFERROR(INDEX(tblProductos[STOCK_ACTUAL],MATCH(E328,tblProductos[ITEM],0)),""))</f>
        <v/>
      </c>
    </row>
    <row r="329" spans="1:19" x14ac:dyDescent="0.3">
      <c r="A329" s="40"/>
      <c r="B329" s="14" t="str">
        <f t="shared" si="25"/>
        <v/>
      </c>
      <c r="C329" s="14" t="str">
        <f>IF(D329="","",IFERROR(INDEX(tblClientes[ID],MATCH(D329,tblClientes[NOMBRE],0)),""))</f>
        <v/>
      </c>
      <c r="D329" s="14"/>
      <c r="E329" s="14"/>
      <c r="F329" s="14" t="str">
        <f>IF(E329="","",IFERROR(INDEX(tblProductos[CATEGORIA],MATCH(E329,tblProductos[ITEM],0)),""))</f>
        <v/>
      </c>
      <c r="G329" s="15"/>
      <c r="H329" s="16"/>
      <c r="I329" s="16" t="str">
        <f>IF(E329="","",IFERROR(INDEX(tblProductos[PRECIO_VENTA],MATCH(E329,tblProductos[ITEM],0)),""))</f>
        <v/>
      </c>
      <c r="J329" s="16" t="str">
        <f t="shared" si="26"/>
        <v/>
      </c>
      <c r="K329" s="16" t="str">
        <f t="shared" si="27"/>
        <v/>
      </c>
      <c r="L329" s="16" t="str">
        <f>IF(E329="","",IFERROR(INDEX(tblProductos[COSTO TOTAL],MATCH(E329,tblProductos[ITEM],0)),""))</f>
        <v/>
      </c>
      <c r="M329" s="16" t="str">
        <f t="shared" si="28"/>
        <v/>
      </c>
      <c r="N329" s="16" t="str">
        <f t="shared" si="29"/>
        <v/>
      </c>
      <c r="O329" s="14" t="s">
        <v>34</v>
      </c>
      <c r="P329" s="14" t="s">
        <v>35</v>
      </c>
      <c r="Q329" s="14" t="s">
        <v>36</v>
      </c>
      <c r="R329" s="14"/>
      <c r="S329" t="str">
        <f>IF(E329="","",IFERROR(INDEX(tblProductos[STOCK_ACTUAL],MATCH(E329,tblProductos[ITEM],0)),""))</f>
        <v/>
      </c>
    </row>
    <row r="330" spans="1:19" x14ac:dyDescent="0.3">
      <c r="A330" s="40"/>
      <c r="B330" s="14" t="str">
        <f t="shared" si="25"/>
        <v/>
      </c>
      <c r="C330" s="14" t="str">
        <f>IF(D330="","",IFERROR(INDEX(tblClientes[ID],MATCH(D330,tblClientes[NOMBRE],0)),""))</f>
        <v/>
      </c>
      <c r="D330" s="14"/>
      <c r="E330" s="14"/>
      <c r="F330" s="14" t="str">
        <f>IF(E330="","",IFERROR(INDEX(tblProductos[CATEGORIA],MATCH(E330,tblProductos[ITEM],0)),""))</f>
        <v/>
      </c>
      <c r="G330" s="15"/>
      <c r="H330" s="16"/>
      <c r="I330" s="16" t="str">
        <f>IF(E330="","",IFERROR(INDEX(tblProductos[PRECIO_VENTA],MATCH(E330,tblProductos[ITEM],0)),""))</f>
        <v/>
      </c>
      <c r="J330" s="16" t="str">
        <f t="shared" si="26"/>
        <v/>
      </c>
      <c r="K330" s="16" t="str">
        <f t="shared" si="27"/>
        <v/>
      </c>
      <c r="L330" s="16" t="str">
        <f>IF(E330="","",IFERROR(INDEX(tblProductos[COSTO TOTAL],MATCH(E330,tblProductos[ITEM],0)),""))</f>
        <v/>
      </c>
      <c r="M330" s="16" t="str">
        <f t="shared" si="28"/>
        <v/>
      </c>
      <c r="N330" s="16" t="str">
        <f t="shared" si="29"/>
        <v/>
      </c>
      <c r="O330" s="14" t="s">
        <v>34</v>
      </c>
      <c r="P330" s="14" t="s">
        <v>35</v>
      </c>
      <c r="Q330" s="14" t="s">
        <v>36</v>
      </c>
      <c r="R330" s="14"/>
      <c r="S330" t="str">
        <f>IF(E330="","",IFERROR(INDEX(tblProductos[STOCK_ACTUAL],MATCH(E330,tblProductos[ITEM],0)),""))</f>
        <v/>
      </c>
    </row>
    <row r="331" spans="1:19" x14ac:dyDescent="0.3">
      <c r="A331" s="40"/>
      <c r="B331" s="14" t="str">
        <f t="shared" si="25"/>
        <v/>
      </c>
      <c r="C331" s="14" t="str">
        <f>IF(D331="","",IFERROR(INDEX(tblClientes[ID],MATCH(D331,tblClientes[NOMBRE],0)),""))</f>
        <v/>
      </c>
      <c r="D331" s="14"/>
      <c r="E331" s="14"/>
      <c r="F331" s="14" t="str">
        <f>IF(E331="","",IFERROR(INDEX(tblProductos[CATEGORIA],MATCH(E331,tblProductos[ITEM],0)),""))</f>
        <v/>
      </c>
      <c r="G331" s="15"/>
      <c r="H331" s="16"/>
      <c r="I331" s="16" t="str">
        <f>IF(E331="","",IFERROR(INDEX(tblProductos[PRECIO_VENTA],MATCH(E331,tblProductos[ITEM],0)),""))</f>
        <v/>
      </c>
      <c r="J331" s="16" t="str">
        <f t="shared" si="26"/>
        <v/>
      </c>
      <c r="K331" s="16" t="str">
        <f t="shared" si="27"/>
        <v/>
      </c>
      <c r="L331" s="16" t="str">
        <f>IF(E331="","",IFERROR(INDEX(tblProductos[COSTO TOTAL],MATCH(E331,tblProductos[ITEM],0)),""))</f>
        <v/>
      </c>
      <c r="M331" s="16" t="str">
        <f t="shared" si="28"/>
        <v/>
      </c>
      <c r="N331" s="16" t="str">
        <f t="shared" si="29"/>
        <v/>
      </c>
      <c r="O331" s="14" t="s">
        <v>34</v>
      </c>
      <c r="P331" s="14" t="s">
        <v>35</v>
      </c>
      <c r="Q331" s="14" t="s">
        <v>36</v>
      </c>
      <c r="R331" s="14"/>
      <c r="S331" t="str">
        <f>IF(E331="","",IFERROR(INDEX(tblProductos[STOCK_ACTUAL],MATCH(E331,tblProductos[ITEM],0)),""))</f>
        <v/>
      </c>
    </row>
    <row r="332" spans="1:19" x14ac:dyDescent="0.3">
      <c r="A332" s="40"/>
      <c r="B332" s="14" t="str">
        <f t="shared" si="25"/>
        <v/>
      </c>
      <c r="C332" s="14" t="str">
        <f>IF(D332="","",IFERROR(INDEX(tblClientes[ID],MATCH(D332,tblClientes[NOMBRE],0)),""))</f>
        <v/>
      </c>
      <c r="D332" s="14"/>
      <c r="E332" s="14"/>
      <c r="F332" s="14" t="str">
        <f>IF(E332="","",IFERROR(INDEX(tblProductos[CATEGORIA],MATCH(E332,tblProductos[ITEM],0)),""))</f>
        <v/>
      </c>
      <c r="G332" s="15"/>
      <c r="H332" s="16"/>
      <c r="I332" s="16" t="str">
        <f>IF(E332="","",IFERROR(INDEX(tblProductos[PRECIO_VENTA],MATCH(E332,tblProductos[ITEM],0)),""))</f>
        <v/>
      </c>
      <c r="J332" s="16" t="str">
        <f t="shared" si="26"/>
        <v/>
      </c>
      <c r="K332" s="16" t="str">
        <f t="shared" si="27"/>
        <v/>
      </c>
      <c r="L332" s="16" t="str">
        <f>IF(E332="","",IFERROR(INDEX(tblProductos[COSTO TOTAL],MATCH(E332,tblProductos[ITEM],0)),""))</f>
        <v/>
      </c>
      <c r="M332" s="16" t="str">
        <f t="shared" si="28"/>
        <v/>
      </c>
      <c r="N332" s="16" t="str">
        <f t="shared" si="29"/>
        <v/>
      </c>
      <c r="O332" s="14" t="s">
        <v>34</v>
      </c>
      <c r="P332" s="14" t="s">
        <v>35</v>
      </c>
      <c r="Q332" s="14" t="s">
        <v>36</v>
      </c>
      <c r="R332" s="14"/>
      <c r="S332" t="str">
        <f>IF(E332="","",IFERROR(INDEX(tblProductos[STOCK_ACTUAL],MATCH(E332,tblProductos[ITEM],0)),""))</f>
        <v/>
      </c>
    </row>
    <row r="333" spans="1:19" x14ac:dyDescent="0.3">
      <c r="A333" s="40"/>
      <c r="B333" s="14" t="str">
        <f t="shared" si="25"/>
        <v/>
      </c>
      <c r="C333" s="14" t="str">
        <f>IF(D333="","",IFERROR(INDEX(tblClientes[ID],MATCH(D333,tblClientes[NOMBRE],0)),""))</f>
        <v/>
      </c>
      <c r="D333" s="14"/>
      <c r="E333" s="14"/>
      <c r="F333" s="14" t="str">
        <f>IF(E333="","",IFERROR(INDEX(tblProductos[CATEGORIA],MATCH(E333,tblProductos[ITEM],0)),""))</f>
        <v/>
      </c>
      <c r="G333" s="15"/>
      <c r="H333" s="16"/>
      <c r="I333" s="16" t="str">
        <f>IF(E333="","",IFERROR(INDEX(tblProductos[PRECIO_VENTA],MATCH(E333,tblProductos[ITEM],0)),""))</f>
        <v/>
      </c>
      <c r="J333" s="16" t="str">
        <f t="shared" si="26"/>
        <v/>
      </c>
      <c r="K333" s="16" t="str">
        <f t="shared" si="27"/>
        <v/>
      </c>
      <c r="L333" s="16" t="str">
        <f>IF(E333="","",IFERROR(INDEX(tblProductos[COSTO TOTAL],MATCH(E333,tblProductos[ITEM],0)),""))</f>
        <v/>
      </c>
      <c r="M333" s="16" t="str">
        <f t="shared" si="28"/>
        <v/>
      </c>
      <c r="N333" s="16" t="str">
        <f t="shared" si="29"/>
        <v/>
      </c>
      <c r="O333" s="14" t="s">
        <v>34</v>
      </c>
      <c r="P333" s="14" t="s">
        <v>35</v>
      </c>
      <c r="Q333" s="14" t="s">
        <v>36</v>
      </c>
      <c r="R333" s="14"/>
      <c r="S333" t="str">
        <f>IF(E333="","",IFERROR(INDEX(tblProductos[STOCK_ACTUAL],MATCH(E333,tblProductos[ITEM],0)),""))</f>
        <v/>
      </c>
    </row>
    <row r="334" spans="1:19" x14ac:dyDescent="0.3">
      <c r="A334" s="40"/>
      <c r="B334" s="14" t="str">
        <f t="shared" si="25"/>
        <v/>
      </c>
      <c r="C334" s="14" t="str">
        <f>IF(D334="","",IFERROR(INDEX(tblClientes[ID],MATCH(D334,tblClientes[NOMBRE],0)),""))</f>
        <v/>
      </c>
      <c r="D334" s="14"/>
      <c r="E334" s="14"/>
      <c r="F334" s="14" t="str">
        <f>IF(E334="","",IFERROR(INDEX(tblProductos[CATEGORIA],MATCH(E334,tblProductos[ITEM],0)),""))</f>
        <v/>
      </c>
      <c r="G334" s="15"/>
      <c r="H334" s="16"/>
      <c r="I334" s="16" t="str">
        <f>IF(E334="","",IFERROR(INDEX(tblProductos[PRECIO_VENTA],MATCH(E334,tblProductos[ITEM],0)),""))</f>
        <v/>
      </c>
      <c r="J334" s="16" t="str">
        <f t="shared" si="26"/>
        <v/>
      </c>
      <c r="K334" s="16" t="str">
        <f t="shared" si="27"/>
        <v/>
      </c>
      <c r="L334" s="16" t="str">
        <f>IF(E334="","",IFERROR(INDEX(tblProductos[COSTO TOTAL],MATCH(E334,tblProductos[ITEM],0)),""))</f>
        <v/>
      </c>
      <c r="M334" s="16" t="str">
        <f t="shared" si="28"/>
        <v/>
      </c>
      <c r="N334" s="16" t="str">
        <f t="shared" si="29"/>
        <v/>
      </c>
      <c r="O334" s="14" t="s">
        <v>34</v>
      </c>
      <c r="P334" s="14" t="s">
        <v>35</v>
      </c>
      <c r="Q334" s="14" t="s">
        <v>36</v>
      </c>
      <c r="R334" s="14"/>
      <c r="S334" t="str">
        <f>IF(E334="","",IFERROR(INDEX(tblProductos[STOCK_ACTUAL],MATCH(E334,tblProductos[ITEM],0)),""))</f>
        <v/>
      </c>
    </row>
    <row r="335" spans="1:19" x14ac:dyDescent="0.3">
      <c r="A335" s="40"/>
      <c r="B335" s="14" t="str">
        <f t="shared" si="25"/>
        <v/>
      </c>
      <c r="C335" s="14" t="str">
        <f>IF(D335="","",IFERROR(INDEX(tblClientes[ID],MATCH(D335,tblClientes[NOMBRE],0)),""))</f>
        <v/>
      </c>
      <c r="D335" s="14"/>
      <c r="E335" s="14"/>
      <c r="F335" s="14" t="str">
        <f>IF(E335="","",IFERROR(INDEX(tblProductos[CATEGORIA],MATCH(E335,tblProductos[ITEM],0)),""))</f>
        <v/>
      </c>
      <c r="G335" s="15"/>
      <c r="H335" s="16"/>
      <c r="I335" s="16" t="str">
        <f>IF(E335="","",IFERROR(INDEX(tblProductos[PRECIO_VENTA],MATCH(E335,tblProductos[ITEM],0)),""))</f>
        <v/>
      </c>
      <c r="J335" s="16" t="str">
        <f t="shared" si="26"/>
        <v/>
      </c>
      <c r="K335" s="16" t="str">
        <f t="shared" si="27"/>
        <v/>
      </c>
      <c r="L335" s="16" t="str">
        <f>IF(E335="","",IFERROR(INDEX(tblProductos[COSTO TOTAL],MATCH(E335,tblProductos[ITEM],0)),""))</f>
        <v/>
      </c>
      <c r="M335" s="16" t="str">
        <f t="shared" si="28"/>
        <v/>
      </c>
      <c r="N335" s="16" t="str">
        <f t="shared" si="29"/>
        <v/>
      </c>
      <c r="O335" s="14" t="s">
        <v>34</v>
      </c>
      <c r="P335" s="14" t="s">
        <v>35</v>
      </c>
      <c r="Q335" s="14" t="s">
        <v>36</v>
      </c>
      <c r="R335" s="14"/>
      <c r="S335" t="str">
        <f>IF(E335="","",IFERROR(INDEX(tblProductos[STOCK_ACTUAL],MATCH(E335,tblProductos[ITEM],0)),""))</f>
        <v/>
      </c>
    </row>
    <row r="336" spans="1:19" x14ac:dyDescent="0.3">
      <c r="A336" s="40"/>
      <c r="B336" s="14" t="str">
        <f t="shared" si="25"/>
        <v/>
      </c>
      <c r="C336" s="14" t="str">
        <f>IF(D336="","",IFERROR(INDEX(tblClientes[ID],MATCH(D336,tblClientes[NOMBRE],0)),""))</f>
        <v/>
      </c>
      <c r="D336" s="14"/>
      <c r="E336" s="14"/>
      <c r="F336" s="14" t="str">
        <f>IF(E336="","",IFERROR(INDEX(tblProductos[CATEGORIA],MATCH(E336,tblProductos[ITEM],0)),""))</f>
        <v/>
      </c>
      <c r="G336" s="15"/>
      <c r="H336" s="16"/>
      <c r="I336" s="16" t="str">
        <f>IF(E336="","",IFERROR(INDEX(tblProductos[PRECIO_VENTA],MATCH(E336,tblProductos[ITEM],0)),""))</f>
        <v/>
      </c>
      <c r="J336" s="16" t="str">
        <f t="shared" si="26"/>
        <v/>
      </c>
      <c r="K336" s="16" t="str">
        <f t="shared" si="27"/>
        <v/>
      </c>
      <c r="L336" s="16" t="str">
        <f>IF(E336="","",IFERROR(INDEX(tblProductos[COSTO TOTAL],MATCH(E336,tblProductos[ITEM],0)),""))</f>
        <v/>
      </c>
      <c r="M336" s="16" t="str">
        <f t="shared" si="28"/>
        <v/>
      </c>
      <c r="N336" s="16" t="str">
        <f t="shared" si="29"/>
        <v/>
      </c>
      <c r="O336" s="14" t="s">
        <v>34</v>
      </c>
      <c r="P336" s="14" t="s">
        <v>35</v>
      </c>
      <c r="Q336" s="14" t="s">
        <v>36</v>
      </c>
      <c r="R336" s="14"/>
      <c r="S336" t="str">
        <f>IF(E336="","",IFERROR(INDEX(tblProductos[STOCK_ACTUAL],MATCH(E336,tblProductos[ITEM],0)),""))</f>
        <v/>
      </c>
    </row>
    <row r="337" spans="1:19" x14ac:dyDescent="0.3">
      <c r="A337" s="40"/>
      <c r="B337" s="14" t="str">
        <f t="shared" si="25"/>
        <v/>
      </c>
      <c r="C337" s="14" t="str">
        <f>IF(D337="","",IFERROR(INDEX(tblClientes[ID],MATCH(D337,tblClientes[NOMBRE],0)),""))</f>
        <v/>
      </c>
      <c r="D337" s="14"/>
      <c r="E337" s="14"/>
      <c r="F337" s="14" t="str">
        <f>IF(E337="","",IFERROR(INDEX(tblProductos[CATEGORIA],MATCH(E337,tblProductos[ITEM],0)),""))</f>
        <v/>
      </c>
      <c r="G337" s="15"/>
      <c r="H337" s="16"/>
      <c r="I337" s="16" t="str">
        <f>IF(E337="","",IFERROR(INDEX(tblProductos[PRECIO_VENTA],MATCH(E337,tblProductos[ITEM],0)),""))</f>
        <v/>
      </c>
      <c r="J337" s="16" t="str">
        <f t="shared" si="26"/>
        <v/>
      </c>
      <c r="K337" s="16" t="str">
        <f t="shared" si="27"/>
        <v/>
      </c>
      <c r="L337" s="16" t="str">
        <f>IF(E337="","",IFERROR(INDEX(tblProductos[COSTO TOTAL],MATCH(E337,tblProductos[ITEM],0)),""))</f>
        <v/>
      </c>
      <c r="M337" s="16" t="str">
        <f t="shared" si="28"/>
        <v/>
      </c>
      <c r="N337" s="16" t="str">
        <f t="shared" si="29"/>
        <v/>
      </c>
      <c r="O337" s="14" t="s">
        <v>34</v>
      </c>
      <c r="P337" s="14" t="s">
        <v>35</v>
      </c>
      <c r="Q337" s="14" t="s">
        <v>36</v>
      </c>
      <c r="R337" s="14"/>
      <c r="S337" t="str">
        <f>IF(E337="","",IFERROR(INDEX(tblProductos[STOCK_ACTUAL],MATCH(E337,tblProductos[ITEM],0)),""))</f>
        <v/>
      </c>
    </row>
    <row r="338" spans="1:19" x14ac:dyDescent="0.3">
      <c r="A338" s="40"/>
      <c r="B338" s="14" t="str">
        <f t="shared" si="25"/>
        <v/>
      </c>
      <c r="C338" s="14" t="str">
        <f>IF(D338="","",IFERROR(INDEX(tblClientes[ID],MATCH(D338,tblClientes[NOMBRE],0)),""))</f>
        <v/>
      </c>
      <c r="D338" s="14"/>
      <c r="E338" s="14"/>
      <c r="F338" s="14" t="str">
        <f>IF(E338="","",IFERROR(INDEX(tblProductos[CATEGORIA],MATCH(E338,tblProductos[ITEM],0)),""))</f>
        <v/>
      </c>
      <c r="G338" s="15"/>
      <c r="H338" s="16"/>
      <c r="I338" s="16" t="str">
        <f>IF(E338="","",IFERROR(INDEX(tblProductos[PRECIO_VENTA],MATCH(E338,tblProductos[ITEM],0)),""))</f>
        <v/>
      </c>
      <c r="J338" s="16" t="str">
        <f t="shared" si="26"/>
        <v/>
      </c>
      <c r="K338" s="16" t="str">
        <f t="shared" si="27"/>
        <v/>
      </c>
      <c r="L338" s="16" t="str">
        <f>IF(E338="","",IFERROR(INDEX(tblProductos[COSTO TOTAL],MATCH(E338,tblProductos[ITEM],0)),""))</f>
        <v/>
      </c>
      <c r="M338" s="16" t="str">
        <f t="shared" si="28"/>
        <v/>
      </c>
      <c r="N338" s="16" t="str">
        <f t="shared" si="29"/>
        <v/>
      </c>
      <c r="O338" s="14" t="s">
        <v>34</v>
      </c>
      <c r="P338" s="14" t="s">
        <v>35</v>
      </c>
      <c r="Q338" s="14" t="s">
        <v>36</v>
      </c>
      <c r="R338" s="14"/>
      <c r="S338" t="str">
        <f>IF(E338="","",IFERROR(INDEX(tblProductos[STOCK_ACTUAL],MATCH(E338,tblProductos[ITEM],0)),""))</f>
        <v/>
      </c>
    </row>
    <row r="339" spans="1:19" x14ac:dyDescent="0.3">
      <c r="A339" s="40"/>
      <c r="B339" s="14" t="str">
        <f t="shared" si="25"/>
        <v/>
      </c>
      <c r="C339" s="14" t="str">
        <f>IF(D339="","",IFERROR(INDEX(tblClientes[ID],MATCH(D339,tblClientes[NOMBRE],0)),""))</f>
        <v/>
      </c>
      <c r="D339" s="14"/>
      <c r="E339" s="14"/>
      <c r="F339" s="14" t="str">
        <f>IF(E339="","",IFERROR(INDEX(tblProductos[CATEGORIA],MATCH(E339,tblProductos[ITEM],0)),""))</f>
        <v/>
      </c>
      <c r="G339" s="15"/>
      <c r="H339" s="16"/>
      <c r="I339" s="16" t="str">
        <f>IF(E339="","",IFERROR(INDEX(tblProductos[PRECIO_VENTA],MATCH(E339,tblProductos[ITEM],0)),""))</f>
        <v/>
      </c>
      <c r="J339" s="16" t="str">
        <f t="shared" si="26"/>
        <v/>
      </c>
      <c r="K339" s="16" t="str">
        <f t="shared" si="27"/>
        <v/>
      </c>
      <c r="L339" s="16" t="str">
        <f>IF(E339="","",IFERROR(INDEX(tblProductos[COSTO TOTAL],MATCH(E339,tblProductos[ITEM],0)),""))</f>
        <v/>
      </c>
      <c r="M339" s="16" t="str">
        <f t="shared" si="28"/>
        <v/>
      </c>
      <c r="N339" s="16" t="str">
        <f t="shared" si="29"/>
        <v/>
      </c>
      <c r="O339" s="14" t="s">
        <v>34</v>
      </c>
      <c r="P339" s="14" t="s">
        <v>35</v>
      </c>
      <c r="Q339" s="14" t="s">
        <v>36</v>
      </c>
      <c r="R339" s="14"/>
      <c r="S339" t="str">
        <f>IF(E339="","",IFERROR(INDEX(tblProductos[STOCK_ACTUAL],MATCH(E339,tblProductos[ITEM],0)),""))</f>
        <v/>
      </c>
    </row>
    <row r="340" spans="1:19" x14ac:dyDescent="0.3">
      <c r="A340" s="40"/>
      <c r="B340" s="14" t="str">
        <f t="shared" si="25"/>
        <v/>
      </c>
      <c r="C340" s="14" t="str">
        <f>IF(D340="","",IFERROR(INDEX(tblClientes[ID],MATCH(D340,tblClientes[NOMBRE],0)),""))</f>
        <v/>
      </c>
      <c r="D340" s="14"/>
      <c r="E340" s="14"/>
      <c r="F340" s="14" t="str">
        <f>IF(E340="","",IFERROR(INDEX(tblProductos[CATEGORIA],MATCH(E340,tblProductos[ITEM],0)),""))</f>
        <v/>
      </c>
      <c r="G340" s="15"/>
      <c r="H340" s="16"/>
      <c r="I340" s="16" t="str">
        <f>IF(E340="","",IFERROR(INDEX(tblProductos[PRECIO_VENTA],MATCH(E340,tblProductos[ITEM],0)),""))</f>
        <v/>
      </c>
      <c r="J340" s="16" t="str">
        <f t="shared" si="26"/>
        <v/>
      </c>
      <c r="K340" s="16" t="str">
        <f t="shared" si="27"/>
        <v/>
      </c>
      <c r="L340" s="16" t="str">
        <f>IF(E340="","",IFERROR(INDEX(tblProductos[COSTO TOTAL],MATCH(E340,tblProductos[ITEM],0)),""))</f>
        <v/>
      </c>
      <c r="M340" s="16" t="str">
        <f t="shared" si="28"/>
        <v/>
      </c>
      <c r="N340" s="16" t="str">
        <f t="shared" si="29"/>
        <v/>
      </c>
      <c r="O340" s="14" t="s">
        <v>34</v>
      </c>
      <c r="P340" s="14" t="s">
        <v>35</v>
      </c>
      <c r="Q340" s="14" t="s">
        <v>36</v>
      </c>
      <c r="R340" s="14"/>
      <c r="S340" t="str">
        <f>IF(E340="","",IFERROR(INDEX(tblProductos[STOCK_ACTUAL],MATCH(E340,tblProductos[ITEM],0)),""))</f>
        <v/>
      </c>
    </row>
    <row r="341" spans="1:19" x14ac:dyDescent="0.3">
      <c r="A341" s="40"/>
      <c r="B341" s="14" t="str">
        <f t="shared" si="25"/>
        <v/>
      </c>
      <c r="C341" s="14" t="str">
        <f>IF(D341="","",IFERROR(INDEX(tblClientes[ID],MATCH(D341,tblClientes[NOMBRE],0)),""))</f>
        <v/>
      </c>
      <c r="D341" s="14"/>
      <c r="E341" s="14"/>
      <c r="F341" s="14" t="str">
        <f>IF(E341="","",IFERROR(INDEX(tblProductos[CATEGORIA],MATCH(E341,tblProductos[ITEM],0)),""))</f>
        <v/>
      </c>
      <c r="G341" s="15"/>
      <c r="H341" s="16"/>
      <c r="I341" s="16" t="str">
        <f>IF(E341="","",IFERROR(INDEX(tblProductos[PRECIO_VENTA],MATCH(E341,tblProductos[ITEM],0)),""))</f>
        <v/>
      </c>
      <c r="J341" s="16" t="str">
        <f t="shared" si="26"/>
        <v/>
      </c>
      <c r="K341" s="16" t="str">
        <f t="shared" si="27"/>
        <v/>
      </c>
      <c r="L341" s="16" t="str">
        <f>IF(E341="","",IFERROR(INDEX(tblProductos[COSTO TOTAL],MATCH(E341,tblProductos[ITEM],0)),""))</f>
        <v/>
      </c>
      <c r="M341" s="16" t="str">
        <f t="shared" si="28"/>
        <v/>
      </c>
      <c r="N341" s="16" t="str">
        <f t="shared" si="29"/>
        <v/>
      </c>
      <c r="O341" s="14" t="s">
        <v>34</v>
      </c>
      <c r="P341" s="14" t="s">
        <v>35</v>
      </c>
      <c r="Q341" s="14" t="s">
        <v>36</v>
      </c>
      <c r="R341" s="14"/>
      <c r="S341" t="str">
        <f>IF(E341="","",IFERROR(INDEX(tblProductos[STOCK_ACTUAL],MATCH(E341,tblProductos[ITEM],0)),""))</f>
        <v/>
      </c>
    </row>
    <row r="342" spans="1:19" x14ac:dyDescent="0.3">
      <c r="A342" s="40"/>
      <c r="B342" s="14" t="str">
        <f t="shared" si="25"/>
        <v/>
      </c>
      <c r="C342" s="14" t="str">
        <f>IF(D342="","",IFERROR(INDEX(tblClientes[ID],MATCH(D342,tblClientes[NOMBRE],0)),""))</f>
        <v/>
      </c>
      <c r="D342" s="14"/>
      <c r="E342" s="14"/>
      <c r="F342" s="14" t="str">
        <f>IF(E342="","",IFERROR(INDEX(tblProductos[CATEGORIA],MATCH(E342,tblProductos[ITEM],0)),""))</f>
        <v/>
      </c>
      <c r="G342" s="15"/>
      <c r="H342" s="16"/>
      <c r="I342" s="16" t="str">
        <f>IF(E342="","",IFERROR(INDEX(tblProductos[PRECIO_VENTA],MATCH(E342,tblProductos[ITEM],0)),""))</f>
        <v/>
      </c>
      <c r="J342" s="16" t="str">
        <f t="shared" si="26"/>
        <v/>
      </c>
      <c r="K342" s="16" t="str">
        <f t="shared" si="27"/>
        <v/>
      </c>
      <c r="L342" s="16" t="str">
        <f>IF(E342="","",IFERROR(INDEX(tblProductos[COSTO TOTAL],MATCH(E342,tblProductos[ITEM],0)),""))</f>
        <v/>
      </c>
      <c r="M342" s="16" t="str">
        <f t="shared" si="28"/>
        <v/>
      </c>
      <c r="N342" s="16" t="str">
        <f t="shared" si="29"/>
        <v/>
      </c>
      <c r="O342" s="14" t="s">
        <v>34</v>
      </c>
      <c r="P342" s="14" t="s">
        <v>35</v>
      </c>
      <c r="Q342" s="14" t="s">
        <v>36</v>
      </c>
      <c r="R342" s="14"/>
      <c r="S342" t="str">
        <f>IF(E342="","",IFERROR(INDEX(tblProductos[STOCK_ACTUAL],MATCH(E342,tblProductos[ITEM],0)),""))</f>
        <v/>
      </c>
    </row>
    <row r="343" spans="1:19" x14ac:dyDescent="0.3">
      <c r="A343" s="40"/>
      <c r="B343" s="14" t="str">
        <f t="shared" si="25"/>
        <v/>
      </c>
      <c r="C343" s="14" t="str">
        <f>IF(D343="","",IFERROR(INDEX(tblClientes[ID],MATCH(D343,tblClientes[NOMBRE],0)),""))</f>
        <v/>
      </c>
      <c r="D343" s="14"/>
      <c r="E343" s="14"/>
      <c r="F343" s="14" t="str">
        <f>IF(E343="","",IFERROR(INDEX(tblProductos[CATEGORIA],MATCH(E343,tblProductos[ITEM],0)),""))</f>
        <v/>
      </c>
      <c r="G343" s="15"/>
      <c r="H343" s="16"/>
      <c r="I343" s="16" t="str">
        <f>IF(E343="","",IFERROR(INDEX(tblProductos[PRECIO_VENTA],MATCH(E343,tblProductos[ITEM],0)),""))</f>
        <v/>
      </c>
      <c r="J343" s="16" t="str">
        <f t="shared" si="26"/>
        <v/>
      </c>
      <c r="K343" s="16" t="str">
        <f t="shared" si="27"/>
        <v/>
      </c>
      <c r="L343" s="16" t="str">
        <f>IF(E343="","",IFERROR(INDEX(tblProductos[COSTO TOTAL],MATCH(E343,tblProductos[ITEM],0)),""))</f>
        <v/>
      </c>
      <c r="M343" s="16" t="str">
        <f t="shared" si="28"/>
        <v/>
      </c>
      <c r="N343" s="16" t="str">
        <f t="shared" si="29"/>
        <v/>
      </c>
      <c r="O343" s="14" t="s">
        <v>34</v>
      </c>
      <c r="P343" s="14" t="s">
        <v>35</v>
      </c>
      <c r="Q343" s="14" t="s">
        <v>36</v>
      </c>
      <c r="R343" s="14"/>
      <c r="S343" t="str">
        <f>IF(E343="","",IFERROR(INDEX(tblProductos[STOCK_ACTUAL],MATCH(E343,tblProductos[ITEM],0)),""))</f>
        <v/>
      </c>
    </row>
    <row r="344" spans="1:19" x14ac:dyDescent="0.3">
      <c r="A344" s="40"/>
      <c r="B344" s="14" t="str">
        <f t="shared" si="25"/>
        <v/>
      </c>
      <c r="C344" s="14" t="str">
        <f>IF(D344="","",IFERROR(INDEX(tblClientes[ID],MATCH(D344,tblClientes[NOMBRE],0)),""))</f>
        <v/>
      </c>
      <c r="D344" s="14"/>
      <c r="E344" s="14"/>
      <c r="F344" s="14" t="str">
        <f>IF(E344="","",IFERROR(INDEX(tblProductos[CATEGORIA],MATCH(E344,tblProductos[ITEM],0)),""))</f>
        <v/>
      </c>
      <c r="G344" s="15"/>
      <c r="H344" s="16"/>
      <c r="I344" s="16" t="str">
        <f>IF(E344="","",IFERROR(INDEX(tblProductos[PRECIO_VENTA],MATCH(E344,tblProductos[ITEM],0)),""))</f>
        <v/>
      </c>
      <c r="J344" s="16" t="str">
        <f t="shared" si="26"/>
        <v/>
      </c>
      <c r="K344" s="16" t="str">
        <f t="shared" si="27"/>
        <v/>
      </c>
      <c r="L344" s="16" t="str">
        <f>IF(E344="","",IFERROR(INDEX(tblProductos[COSTO TOTAL],MATCH(E344,tblProductos[ITEM],0)),""))</f>
        <v/>
      </c>
      <c r="M344" s="16" t="str">
        <f t="shared" si="28"/>
        <v/>
      </c>
      <c r="N344" s="16" t="str">
        <f t="shared" si="29"/>
        <v/>
      </c>
      <c r="O344" s="14" t="s">
        <v>34</v>
      </c>
      <c r="P344" s="14" t="s">
        <v>35</v>
      </c>
      <c r="Q344" s="14" t="s">
        <v>36</v>
      </c>
      <c r="R344" s="14"/>
      <c r="S344" t="str">
        <f>IF(E344="","",IFERROR(INDEX(tblProductos[STOCK_ACTUAL],MATCH(E344,tblProductos[ITEM],0)),""))</f>
        <v/>
      </c>
    </row>
    <row r="345" spans="1:19" x14ac:dyDescent="0.3">
      <c r="A345" s="40"/>
      <c r="B345" s="14" t="str">
        <f t="shared" si="25"/>
        <v/>
      </c>
      <c r="C345" s="14" t="str">
        <f>IF(D345="","",IFERROR(INDEX(tblClientes[ID],MATCH(D345,tblClientes[NOMBRE],0)),""))</f>
        <v/>
      </c>
      <c r="D345" s="14"/>
      <c r="E345" s="14"/>
      <c r="F345" s="14" t="str">
        <f>IF(E345="","",IFERROR(INDEX(tblProductos[CATEGORIA],MATCH(E345,tblProductos[ITEM],0)),""))</f>
        <v/>
      </c>
      <c r="G345" s="15"/>
      <c r="H345" s="16"/>
      <c r="I345" s="16" t="str">
        <f>IF(E345="","",IFERROR(INDEX(tblProductos[PRECIO_VENTA],MATCH(E345,tblProductos[ITEM],0)),""))</f>
        <v/>
      </c>
      <c r="J345" s="16" t="str">
        <f t="shared" si="26"/>
        <v/>
      </c>
      <c r="K345" s="16" t="str">
        <f t="shared" si="27"/>
        <v/>
      </c>
      <c r="L345" s="16" t="str">
        <f>IF(E345="","",IFERROR(INDEX(tblProductos[COSTO TOTAL],MATCH(E345,tblProductos[ITEM],0)),""))</f>
        <v/>
      </c>
      <c r="M345" s="16" t="str">
        <f t="shared" si="28"/>
        <v/>
      </c>
      <c r="N345" s="16" t="str">
        <f t="shared" si="29"/>
        <v/>
      </c>
      <c r="O345" s="14" t="s">
        <v>34</v>
      </c>
      <c r="P345" s="14" t="s">
        <v>35</v>
      </c>
      <c r="Q345" s="14" t="s">
        <v>36</v>
      </c>
      <c r="R345" s="14"/>
      <c r="S345" t="str">
        <f>IF(E345="","",IFERROR(INDEX(tblProductos[STOCK_ACTUAL],MATCH(E345,tblProductos[ITEM],0)),""))</f>
        <v/>
      </c>
    </row>
    <row r="346" spans="1:19" x14ac:dyDescent="0.3">
      <c r="A346" s="40"/>
      <c r="B346" s="14" t="str">
        <f t="shared" si="25"/>
        <v/>
      </c>
      <c r="C346" s="14" t="str">
        <f>IF(D346="","",IFERROR(INDEX(tblClientes[ID],MATCH(D346,tblClientes[NOMBRE],0)),""))</f>
        <v/>
      </c>
      <c r="D346" s="14"/>
      <c r="E346" s="14"/>
      <c r="F346" s="14" t="str">
        <f>IF(E346="","",IFERROR(INDEX(tblProductos[CATEGORIA],MATCH(E346,tblProductos[ITEM],0)),""))</f>
        <v/>
      </c>
      <c r="G346" s="15"/>
      <c r="H346" s="16"/>
      <c r="I346" s="16" t="str">
        <f>IF(E346="","",IFERROR(INDEX(tblProductos[PRECIO_VENTA],MATCH(E346,tblProductos[ITEM],0)),""))</f>
        <v/>
      </c>
      <c r="J346" s="16" t="str">
        <f t="shared" si="26"/>
        <v/>
      </c>
      <c r="K346" s="16" t="str">
        <f t="shared" si="27"/>
        <v/>
      </c>
      <c r="L346" s="16" t="str">
        <f>IF(E346="","",IFERROR(INDEX(tblProductos[COSTO TOTAL],MATCH(E346,tblProductos[ITEM],0)),""))</f>
        <v/>
      </c>
      <c r="M346" s="16" t="str">
        <f t="shared" si="28"/>
        <v/>
      </c>
      <c r="N346" s="16" t="str">
        <f t="shared" si="29"/>
        <v/>
      </c>
      <c r="O346" s="14" t="s">
        <v>34</v>
      </c>
      <c r="P346" s="14" t="s">
        <v>35</v>
      </c>
      <c r="Q346" s="14" t="s">
        <v>36</v>
      </c>
      <c r="R346" s="14"/>
      <c r="S346" t="str">
        <f>IF(E346="","",IFERROR(INDEX(tblProductos[STOCK_ACTUAL],MATCH(E346,tblProductos[ITEM],0)),""))</f>
        <v/>
      </c>
    </row>
    <row r="347" spans="1:19" x14ac:dyDescent="0.3">
      <c r="A347" s="40"/>
      <c r="B347" s="14" t="str">
        <f t="shared" si="25"/>
        <v/>
      </c>
      <c r="C347" s="14" t="str">
        <f>IF(D347="","",IFERROR(INDEX(tblClientes[ID],MATCH(D347,tblClientes[NOMBRE],0)),""))</f>
        <v/>
      </c>
      <c r="D347" s="14"/>
      <c r="E347" s="14"/>
      <c r="F347" s="14" t="str">
        <f>IF(E347="","",IFERROR(INDEX(tblProductos[CATEGORIA],MATCH(E347,tblProductos[ITEM],0)),""))</f>
        <v/>
      </c>
      <c r="G347" s="15"/>
      <c r="H347" s="16"/>
      <c r="I347" s="16" t="str">
        <f>IF(E347="","",IFERROR(INDEX(tblProductos[PRECIO_VENTA],MATCH(E347,tblProductos[ITEM],0)),""))</f>
        <v/>
      </c>
      <c r="J347" s="16" t="str">
        <f t="shared" si="26"/>
        <v/>
      </c>
      <c r="K347" s="16" t="str">
        <f t="shared" si="27"/>
        <v/>
      </c>
      <c r="L347" s="16" t="str">
        <f>IF(E347="","",IFERROR(INDEX(tblProductos[COSTO TOTAL],MATCH(E347,tblProductos[ITEM],0)),""))</f>
        <v/>
      </c>
      <c r="M347" s="16" t="str">
        <f t="shared" si="28"/>
        <v/>
      </c>
      <c r="N347" s="16" t="str">
        <f t="shared" si="29"/>
        <v/>
      </c>
      <c r="O347" s="14" t="s">
        <v>34</v>
      </c>
      <c r="P347" s="14" t="s">
        <v>35</v>
      </c>
      <c r="Q347" s="14" t="s">
        <v>36</v>
      </c>
      <c r="R347" s="14"/>
      <c r="S347" t="str">
        <f>IF(E347="","",IFERROR(INDEX(tblProductos[STOCK_ACTUAL],MATCH(E347,tblProductos[ITEM],0)),""))</f>
        <v/>
      </c>
    </row>
    <row r="348" spans="1:19" x14ac:dyDescent="0.3">
      <c r="A348" s="40"/>
      <c r="B348" s="14" t="str">
        <f t="shared" si="25"/>
        <v/>
      </c>
      <c r="C348" s="14" t="str">
        <f>IF(D348="","",IFERROR(INDEX(tblClientes[ID],MATCH(D348,tblClientes[NOMBRE],0)),""))</f>
        <v/>
      </c>
      <c r="D348" s="14"/>
      <c r="E348" s="14"/>
      <c r="F348" s="14" t="str">
        <f>IF(E348="","",IFERROR(INDEX(tblProductos[CATEGORIA],MATCH(E348,tblProductos[ITEM],0)),""))</f>
        <v/>
      </c>
      <c r="G348" s="15"/>
      <c r="H348" s="16"/>
      <c r="I348" s="16" t="str">
        <f>IF(E348="","",IFERROR(INDEX(tblProductos[PRECIO_VENTA],MATCH(E348,tblProductos[ITEM],0)),""))</f>
        <v/>
      </c>
      <c r="J348" s="16" t="str">
        <f t="shared" si="26"/>
        <v/>
      </c>
      <c r="K348" s="16" t="str">
        <f t="shared" si="27"/>
        <v/>
      </c>
      <c r="L348" s="16" t="str">
        <f>IF(E348="","",IFERROR(INDEX(tblProductos[COSTO TOTAL],MATCH(E348,tblProductos[ITEM],0)),""))</f>
        <v/>
      </c>
      <c r="M348" s="16" t="str">
        <f t="shared" si="28"/>
        <v/>
      </c>
      <c r="N348" s="16" t="str">
        <f t="shared" si="29"/>
        <v/>
      </c>
      <c r="O348" s="14" t="s">
        <v>34</v>
      </c>
      <c r="P348" s="14" t="s">
        <v>35</v>
      </c>
      <c r="Q348" s="14" t="s">
        <v>36</v>
      </c>
      <c r="R348" s="14"/>
      <c r="S348" t="str">
        <f>IF(E348="","",IFERROR(INDEX(tblProductos[STOCK_ACTUAL],MATCH(E348,tblProductos[ITEM],0)),""))</f>
        <v/>
      </c>
    </row>
    <row r="349" spans="1:19" x14ac:dyDescent="0.3">
      <c r="A349" s="40"/>
      <c r="B349" s="14" t="str">
        <f t="shared" si="25"/>
        <v/>
      </c>
      <c r="C349" s="14" t="str">
        <f>IF(D349="","",IFERROR(INDEX(tblClientes[ID],MATCH(D349,tblClientes[NOMBRE],0)),""))</f>
        <v/>
      </c>
      <c r="D349" s="14"/>
      <c r="E349" s="14"/>
      <c r="F349" s="14" t="str">
        <f>IF(E349="","",IFERROR(INDEX(tblProductos[CATEGORIA],MATCH(E349,tblProductos[ITEM],0)),""))</f>
        <v/>
      </c>
      <c r="G349" s="15"/>
      <c r="H349" s="16"/>
      <c r="I349" s="16" t="str">
        <f>IF(E349="","",IFERROR(INDEX(tblProductos[PRECIO_VENTA],MATCH(E349,tblProductos[ITEM],0)),""))</f>
        <v/>
      </c>
      <c r="J349" s="16" t="str">
        <f t="shared" si="26"/>
        <v/>
      </c>
      <c r="K349" s="16" t="str">
        <f t="shared" si="27"/>
        <v/>
      </c>
      <c r="L349" s="16" t="str">
        <f>IF(E349="","",IFERROR(INDEX(tblProductos[COSTO TOTAL],MATCH(E349,tblProductos[ITEM],0)),""))</f>
        <v/>
      </c>
      <c r="M349" s="16" t="str">
        <f t="shared" si="28"/>
        <v/>
      </c>
      <c r="N349" s="16" t="str">
        <f t="shared" si="29"/>
        <v/>
      </c>
      <c r="O349" s="14" t="s">
        <v>34</v>
      </c>
      <c r="P349" s="14" t="s">
        <v>35</v>
      </c>
      <c r="Q349" s="14" t="s">
        <v>36</v>
      </c>
      <c r="R349" s="14"/>
      <c r="S349" t="str">
        <f>IF(E349="","",IFERROR(INDEX(tblProductos[STOCK_ACTUAL],MATCH(E349,tblProductos[ITEM],0)),""))</f>
        <v/>
      </c>
    </row>
    <row r="350" spans="1:19" x14ac:dyDescent="0.3">
      <c r="A350" s="40"/>
      <c r="B350" s="14" t="str">
        <f t="shared" si="25"/>
        <v/>
      </c>
      <c r="C350" s="14" t="str">
        <f>IF(D350="","",IFERROR(INDEX(tblClientes[ID],MATCH(D350,tblClientes[NOMBRE],0)),""))</f>
        <v/>
      </c>
      <c r="D350" s="14"/>
      <c r="E350" s="14"/>
      <c r="F350" s="14" t="str">
        <f>IF(E350="","",IFERROR(INDEX(tblProductos[CATEGORIA],MATCH(E350,tblProductos[ITEM],0)),""))</f>
        <v/>
      </c>
      <c r="G350" s="15"/>
      <c r="H350" s="16"/>
      <c r="I350" s="16" t="str">
        <f>IF(E350="","",IFERROR(INDEX(tblProductos[PRECIO_VENTA],MATCH(E350,tblProductos[ITEM],0)),""))</f>
        <v/>
      </c>
      <c r="J350" s="16" t="str">
        <f t="shared" si="26"/>
        <v/>
      </c>
      <c r="K350" s="16" t="str">
        <f t="shared" si="27"/>
        <v/>
      </c>
      <c r="L350" s="16" t="str">
        <f>IF(E350="","",IFERROR(INDEX(tblProductos[COSTO TOTAL],MATCH(E350,tblProductos[ITEM],0)),""))</f>
        <v/>
      </c>
      <c r="M350" s="16" t="str">
        <f t="shared" si="28"/>
        <v/>
      </c>
      <c r="N350" s="16" t="str">
        <f t="shared" si="29"/>
        <v/>
      </c>
      <c r="O350" s="14" t="s">
        <v>34</v>
      </c>
      <c r="P350" s="14" t="s">
        <v>35</v>
      </c>
      <c r="Q350" s="14" t="s">
        <v>36</v>
      </c>
      <c r="R350" s="14"/>
      <c r="S350" t="str">
        <f>IF(E350="","",IFERROR(INDEX(tblProductos[STOCK_ACTUAL],MATCH(E350,tblProductos[ITEM],0)),""))</f>
        <v/>
      </c>
    </row>
    <row r="351" spans="1:19" x14ac:dyDescent="0.3">
      <c r="A351" s="40"/>
      <c r="B351" s="14" t="str">
        <f t="shared" si="25"/>
        <v/>
      </c>
      <c r="C351" s="14" t="str">
        <f>IF(D351="","",IFERROR(INDEX(tblClientes[ID],MATCH(D351,tblClientes[NOMBRE],0)),""))</f>
        <v/>
      </c>
      <c r="D351" s="14"/>
      <c r="E351" s="14"/>
      <c r="F351" s="14" t="str">
        <f>IF(E351="","",IFERROR(INDEX(tblProductos[CATEGORIA],MATCH(E351,tblProductos[ITEM],0)),""))</f>
        <v/>
      </c>
      <c r="G351" s="15"/>
      <c r="H351" s="16"/>
      <c r="I351" s="16" t="str">
        <f>IF(E351="","",IFERROR(INDEX(tblProductos[PRECIO_VENTA],MATCH(E351,tblProductos[ITEM],0)),""))</f>
        <v/>
      </c>
      <c r="J351" s="16" t="str">
        <f t="shared" si="26"/>
        <v/>
      </c>
      <c r="K351" s="16" t="str">
        <f t="shared" si="27"/>
        <v/>
      </c>
      <c r="L351" s="16" t="str">
        <f>IF(E351="","",IFERROR(INDEX(tblProductos[COSTO TOTAL],MATCH(E351,tblProductos[ITEM],0)),""))</f>
        <v/>
      </c>
      <c r="M351" s="16" t="str">
        <f t="shared" si="28"/>
        <v/>
      </c>
      <c r="N351" s="16" t="str">
        <f t="shared" si="29"/>
        <v/>
      </c>
      <c r="O351" s="14" t="s">
        <v>34</v>
      </c>
      <c r="P351" s="14" t="s">
        <v>35</v>
      </c>
      <c r="Q351" s="14" t="s">
        <v>36</v>
      </c>
      <c r="R351" s="14"/>
      <c r="S351" t="str">
        <f>IF(E351="","",IFERROR(INDEX(tblProductos[STOCK_ACTUAL],MATCH(E351,tblProductos[ITEM],0)),""))</f>
        <v/>
      </c>
    </row>
    <row r="352" spans="1:19" x14ac:dyDescent="0.3">
      <c r="A352" s="40"/>
      <c r="B352" s="14" t="str">
        <f t="shared" si="25"/>
        <v/>
      </c>
      <c r="C352" s="14" t="str">
        <f>IF(D352="","",IFERROR(INDEX(tblClientes[ID],MATCH(D352,tblClientes[NOMBRE],0)),""))</f>
        <v/>
      </c>
      <c r="D352" s="14"/>
      <c r="E352" s="14"/>
      <c r="F352" s="14" t="str">
        <f>IF(E352="","",IFERROR(INDEX(tblProductos[CATEGORIA],MATCH(E352,tblProductos[ITEM],0)),""))</f>
        <v/>
      </c>
      <c r="G352" s="15"/>
      <c r="H352" s="16"/>
      <c r="I352" s="16" t="str">
        <f>IF(E352="","",IFERROR(INDEX(tblProductos[PRECIO_VENTA],MATCH(E352,tblProductos[ITEM],0)),""))</f>
        <v/>
      </c>
      <c r="J352" s="16" t="str">
        <f t="shared" si="26"/>
        <v/>
      </c>
      <c r="K352" s="16" t="str">
        <f t="shared" si="27"/>
        <v/>
      </c>
      <c r="L352" s="16" t="str">
        <f>IF(E352="","",IFERROR(INDEX(tblProductos[COSTO TOTAL],MATCH(E352,tblProductos[ITEM],0)),""))</f>
        <v/>
      </c>
      <c r="M352" s="16" t="str">
        <f t="shared" si="28"/>
        <v/>
      </c>
      <c r="N352" s="16" t="str">
        <f t="shared" si="29"/>
        <v/>
      </c>
      <c r="O352" s="14" t="s">
        <v>34</v>
      </c>
      <c r="P352" s="14" t="s">
        <v>35</v>
      </c>
      <c r="Q352" s="14" t="s">
        <v>36</v>
      </c>
      <c r="R352" s="14"/>
      <c r="S352" t="str">
        <f>IF(E352="","",IFERROR(INDEX(tblProductos[STOCK_ACTUAL],MATCH(E352,tblProductos[ITEM],0)),""))</f>
        <v/>
      </c>
    </row>
    <row r="353" spans="1:19" x14ac:dyDescent="0.3">
      <c r="A353" s="40"/>
      <c r="B353" s="14" t="str">
        <f t="shared" si="25"/>
        <v/>
      </c>
      <c r="C353" s="14" t="str">
        <f>IF(D353="","",IFERROR(INDEX(tblClientes[ID],MATCH(D353,tblClientes[NOMBRE],0)),""))</f>
        <v/>
      </c>
      <c r="D353" s="14"/>
      <c r="E353" s="14"/>
      <c r="F353" s="14" t="str">
        <f>IF(E353="","",IFERROR(INDEX(tblProductos[CATEGORIA],MATCH(E353,tblProductos[ITEM],0)),""))</f>
        <v/>
      </c>
      <c r="G353" s="15"/>
      <c r="H353" s="16"/>
      <c r="I353" s="16" t="str">
        <f>IF(E353="","",IFERROR(INDEX(tblProductos[PRECIO_VENTA],MATCH(E353,tblProductos[ITEM],0)),""))</f>
        <v/>
      </c>
      <c r="J353" s="16" t="str">
        <f t="shared" si="26"/>
        <v/>
      </c>
      <c r="K353" s="16" t="str">
        <f t="shared" si="27"/>
        <v/>
      </c>
      <c r="L353" s="16" t="str">
        <f>IF(E353="","",IFERROR(INDEX(tblProductos[COSTO TOTAL],MATCH(E353,tblProductos[ITEM],0)),""))</f>
        <v/>
      </c>
      <c r="M353" s="16" t="str">
        <f t="shared" si="28"/>
        <v/>
      </c>
      <c r="N353" s="16" t="str">
        <f t="shared" si="29"/>
        <v/>
      </c>
      <c r="O353" s="14" t="s">
        <v>34</v>
      </c>
      <c r="P353" s="14" t="s">
        <v>35</v>
      </c>
      <c r="Q353" s="14" t="s">
        <v>36</v>
      </c>
      <c r="R353" s="14"/>
      <c r="S353" t="str">
        <f>IF(E353="","",IFERROR(INDEX(tblProductos[STOCK_ACTUAL],MATCH(E353,tblProductos[ITEM],0)),""))</f>
        <v/>
      </c>
    </row>
    <row r="354" spans="1:19" x14ac:dyDescent="0.3">
      <c r="A354" s="40"/>
      <c r="B354" s="14" t="str">
        <f t="shared" si="25"/>
        <v/>
      </c>
      <c r="C354" s="14" t="str">
        <f>IF(D354="","",IFERROR(INDEX(tblClientes[ID],MATCH(D354,tblClientes[NOMBRE],0)),""))</f>
        <v/>
      </c>
      <c r="D354" s="14"/>
      <c r="E354" s="14"/>
      <c r="F354" s="14" t="str">
        <f>IF(E354="","",IFERROR(INDEX(tblProductos[CATEGORIA],MATCH(E354,tblProductos[ITEM],0)),""))</f>
        <v/>
      </c>
      <c r="G354" s="15"/>
      <c r="H354" s="16"/>
      <c r="I354" s="16" t="str">
        <f>IF(E354="","",IFERROR(INDEX(tblProductos[PRECIO_VENTA],MATCH(E354,tblProductos[ITEM],0)),""))</f>
        <v/>
      </c>
      <c r="J354" s="16" t="str">
        <f t="shared" si="26"/>
        <v/>
      </c>
      <c r="K354" s="16" t="str">
        <f t="shared" si="27"/>
        <v/>
      </c>
      <c r="L354" s="16" t="str">
        <f>IF(E354="","",IFERROR(INDEX(tblProductos[COSTO TOTAL],MATCH(E354,tblProductos[ITEM],0)),""))</f>
        <v/>
      </c>
      <c r="M354" s="16" t="str">
        <f t="shared" si="28"/>
        <v/>
      </c>
      <c r="N354" s="16" t="str">
        <f t="shared" si="29"/>
        <v/>
      </c>
      <c r="O354" s="14" t="s">
        <v>34</v>
      </c>
      <c r="P354" s="14" t="s">
        <v>35</v>
      </c>
      <c r="Q354" s="14" t="s">
        <v>36</v>
      </c>
      <c r="R354" s="14"/>
      <c r="S354" t="str">
        <f>IF(E354="","",IFERROR(INDEX(tblProductos[STOCK_ACTUAL],MATCH(E354,tblProductos[ITEM],0)),""))</f>
        <v/>
      </c>
    </row>
    <row r="355" spans="1:19" x14ac:dyDescent="0.3">
      <c r="A355" s="40"/>
      <c r="B355" s="14" t="str">
        <f t="shared" si="25"/>
        <v/>
      </c>
      <c r="C355" s="14" t="str">
        <f>IF(D355="","",IFERROR(INDEX(tblClientes[ID],MATCH(D355,tblClientes[NOMBRE],0)),""))</f>
        <v/>
      </c>
      <c r="D355" s="14"/>
      <c r="E355" s="14"/>
      <c r="F355" s="14" t="str">
        <f>IF(E355="","",IFERROR(INDEX(tblProductos[CATEGORIA],MATCH(E355,tblProductos[ITEM],0)),""))</f>
        <v/>
      </c>
      <c r="G355" s="15"/>
      <c r="H355" s="16"/>
      <c r="I355" s="16" t="str">
        <f>IF(E355="","",IFERROR(INDEX(tblProductos[PRECIO_VENTA],MATCH(E355,tblProductos[ITEM],0)),""))</f>
        <v/>
      </c>
      <c r="J355" s="16" t="str">
        <f t="shared" si="26"/>
        <v/>
      </c>
      <c r="K355" s="16" t="str">
        <f t="shared" si="27"/>
        <v/>
      </c>
      <c r="L355" s="16" t="str">
        <f>IF(E355="","",IFERROR(INDEX(tblProductos[COSTO TOTAL],MATCH(E355,tblProductos[ITEM],0)),""))</f>
        <v/>
      </c>
      <c r="M355" s="16" t="str">
        <f t="shared" si="28"/>
        <v/>
      </c>
      <c r="N355" s="16" t="str">
        <f t="shared" si="29"/>
        <v/>
      </c>
      <c r="O355" s="14" t="s">
        <v>34</v>
      </c>
      <c r="P355" s="14" t="s">
        <v>35</v>
      </c>
      <c r="Q355" s="14" t="s">
        <v>36</v>
      </c>
      <c r="R355" s="14"/>
      <c r="S355" t="str">
        <f>IF(E355="","",IFERROR(INDEX(tblProductos[STOCK_ACTUAL],MATCH(E355,tblProductos[ITEM],0)),""))</f>
        <v/>
      </c>
    </row>
    <row r="356" spans="1:19" x14ac:dyDescent="0.3">
      <c r="A356" s="40"/>
      <c r="B356" s="14" t="str">
        <f t="shared" si="25"/>
        <v/>
      </c>
      <c r="C356" s="14" t="str">
        <f>IF(D356="","",IFERROR(INDEX(tblClientes[ID],MATCH(D356,tblClientes[NOMBRE],0)),""))</f>
        <v/>
      </c>
      <c r="D356" s="14"/>
      <c r="E356" s="14"/>
      <c r="F356" s="14" t="str">
        <f>IF(E356="","",IFERROR(INDEX(tblProductos[CATEGORIA],MATCH(E356,tblProductos[ITEM],0)),""))</f>
        <v/>
      </c>
      <c r="G356" s="15"/>
      <c r="H356" s="16"/>
      <c r="I356" s="16" t="str">
        <f>IF(E356="","",IFERROR(INDEX(tblProductos[PRECIO_VENTA],MATCH(E356,tblProductos[ITEM],0)),""))</f>
        <v/>
      </c>
      <c r="J356" s="16" t="str">
        <f t="shared" si="26"/>
        <v/>
      </c>
      <c r="K356" s="16" t="str">
        <f t="shared" si="27"/>
        <v/>
      </c>
      <c r="L356" s="16" t="str">
        <f>IF(E356="","",IFERROR(INDEX(tblProductos[COSTO TOTAL],MATCH(E356,tblProductos[ITEM],0)),""))</f>
        <v/>
      </c>
      <c r="M356" s="16" t="str">
        <f t="shared" si="28"/>
        <v/>
      </c>
      <c r="N356" s="16" t="str">
        <f t="shared" si="29"/>
        <v/>
      </c>
      <c r="O356" s="14" t="s">
        <v>34</v>
      </c>
      <c r="P356" s="14" t="s">
        <v>35</v>
      </c>
      <c r="Q356" s="14" t="s">
        <v>36</v>
      </c>
      <c r="R356" s="14"/>
      <c r="S356" t="str">
        <f>IF(E356="","",IFERROR(INDEX(tblProductos[STOCK_ACTUAL],MATCH(E356,tblProductos[ITEM],0)),""))</f>
        <v/>
      </c>
    </row>
    <row r="357" spans="1:19" x14ac:dyDescent="0.3">
      <c r="A357" s="40"/>
      <c r="B357" s="14" t="str">
        <f t="shared" si="25"/>
        <v/>
      </c>
      <c r="C357" s="14" t="str">
        <f>IF(D357="","",IFERROR(INDEX(tblClientes[ID],MATCH(D357,tblClientes[NOMBRE],0)),""))</f>
        <v/>
      </c>
      <c r="D357" s="14"/>
      <c r="E357" s="14"/>
      <c r="F357" s="14" t="str">
        <f>IF(E357="","",IFERROR(INDEX(tblProductos[CATEGORIA],MATCH(E357,tblProductos[ITEM],0)),""))</f>
        <v/>
      </c>
      <c r="G357" s="15"/>
      <c r="H357" s="16"/>
      <c r="I357" s="16" t="str">
        <f>IF(E357="","",IFERROR(INDEX(tblProductos[PRECIO_VENTA],MATCH(E357,tblProductos[ITEM],0)),""))</f>
        <v/>
      </c>
      <c r="J357" s="16" t="str">
        <f t="shared" si="26"/>
        <v/>
      </c>
      <c r="K357" s="16" t="str">
        <f t="shared" si="27"/>
        <v/>
      </c>
      <c r="L357" s="16" t="str">
        <f>IF(E357="","",IFERROR(INDEX(tblProductos[COSTO TOTAL],MATCH(E357,tblProductos[ITEM],0)),""))</f>
        <v/>
      </c>
      <c r="M357" s="16" t="str">
        <f t="shared" si="28"/>
        <v/>
      </c>
      <c r="N357" s="16" t="str">
        <f t="shared" si="29"/>
        <v/>
      </c>
      <c r="O357" s="14" t="s">
        <v>34</v>
      </c>
      <c r="P357" s="14" t="s">
        <v>35</v>
      </c>
      <c r="Q357" s="14" t="s">
        <v>36</v>
      </c>
      <c r="R357" s="14"/>
      <c r="S357" t="str">
        <f>IF(E357="","",IFERROR(INDEX(tblProductos[STOCK_ACTUAL],MATCH(E357,tblProductos[ITEM],0)),""))</f>
        <v/>
      </c>
    </row>
    <row r="358" spans="1:19" x14ac:dyDescent="0.3">
      <c r="A358" s="40"/>
      <c r="B358" s="14" t="str">
        <f t="shared" si="25"/>
        <v/>
      </c>
      <c r="C358" s="14" t="str">
        <f>IF(D358="","",IFERROR(INDEX(tblClientes[ID],MATCH(D358,tblClientes[NOMBRE],0)),""))</f>
        <v/>
      </c>
      <c r="D358" s="14"/>
      <c r="E358" s="14"/>
      <c r="F358" s="14" t="str">
        <f>IF(E358="","",IFERROR(INDEX(tblProductos[CATEGORIA],MATCH(E358,tblProductos[ITEM],0)),""))</f>
        <v/>
      </c>
      <c r="G358" s="15"/>
      <c r="H358" s="16"/>
      <c r="I358" s="16" t="str">
        <f>IF(E358="","",IFERROR(INDEX(tblProductos[PRECIO_VENTA],MATCH(E358,tblProductos[ITEM],0)),""))</f>
        <v/>
      </c>
      <c r="J358" s="16" t="str">
        <f t="shared" si="26"/>
        <v/>
      </c>
      <c r="K358" s="16" t="str">
        <f t="shared" si="27"/>
        <v/>
      </c>
      <c r="L358" s="16" t="str">
        <f>IF(E358="","",IFERROR(INDEX(tblProductos[COSTO TOTAL],MATCH(E358,tblProductos[ITEM],0)),""))</f>
        <v/>
      </c>
      <c r="M358" s="16" t="str">
        <f t="shared" si="28"/>
        <v/>
      </c>
      <c r="N358" s="16" t="str">
        <f t="shared" si="29"/>
        <v/>
      </c>
      <c r="O358" s="14" t="s">
        <v>34</v>
      </c>
      <c r="P358" s="14" t="s">
        <v>35</v>
      </c>
      <c r="Q358" s="14" t="s">
        <v>36</v>
      </c>
      <c r="R358" s="14"/>
      <c r="S358" t="str">
        <f>IF(E358="","",IFERROR(INDEX(tblProductos[STOCK_ACTUAL],MATCH(E358,tblProductos[ITEM],0)),""))</f>
        <v/>
      </c>
    </row>
    <row r="359" spans="1:19" x14ac:dyDescent="0.3">
      <c r="A359" s="40"/>
      <c r="B359" s="14" t="str">
        <f t="shared" si="25"/>
        <v/>
      </c>
      <c r="C359" s="14" t="str">
        <f>IF(D359="","",IFERROR(INDEX(tblClientes[ID],MATCH(D359,tblClientes[NOMBRE],0)),""))</f>
        <v/>
      </c>
      <c r="D359" s="14"/>
      <c r="E359" s="14"/>
      <c r="F359" s="14" t="str">
        <f>IF(E359="","",IFERROR(INDEX(tblProductos[CATEGORIA],MATCH(E359,tblProductos[ITEM],0)),""))</f>
        <v/>
      </c>
      <c r="G359" s="15"/>
      <c r="H359" s="16"/>
      <c r="I359" s="16" t="str">
        <f>IF(E359="","",IFERROR(INDEX(tblProductos[PRECIO_VENTA],MATCH(E359,tblProductos[ITEM],0)),""))</f>
        <v/>
      </c>
      <c r="J359" s="16" t="str">
        <f t="shared" si="26"/>
        <v/>
      </c>
      <c r="K359" s="16" t="str">
        <f t="shared" si="27"/>
        <v/>
      </c>
      <c r="L359" s="16" t="str">
        <f>IF(E359="","",IFERROR(INDEX(tblProductos[COSTO TOTAL],MATCH(E359,tblProductos[ITEM],0)),""))</f>
        <v/>
      </c>
      <c r="M359" s="16" t="str">
        <f t="shared" si="28"/>
        <v/>
      </c>
      <c r="N359" s="16" t="str">
        <f t="shared" si="29"/>
        <v/>
      </c>
      <c r="O359" s="14" t="s">
        <v>34</v>
      </c>
      <c r="P359" s="14" t="s">
        <v>35</v>
      </c>
      <c r="Q359" s="14" t="s">
        <v>36</v>
      </c>
      <c r="R359" s="14"/>
      <c r="S359" t="str">
        <f>IF(E359="","",IFERROR(INDEX(tblProductos[STOCK_ACTUAL],MATCH(E359,tblProductos[ITEM],0)),""))</f>
        <v/>
      </c>
    </row>
    <row r="360" spans="1:19" x14ac:dyDescent="0.3">
      <c r="A360" s="40"/>
      <c r="B360" s="14" t="str">
        <f t="shared" si="25"/>
        <v/>
      </c>
      <c r="C360" s="14" t="str">
        <f>IF(D360="","",IFERROR(INDEX(tblClientes[ID],MATCH(D360,tblClientes[NOMBRE],0)),""))</f>
        <v/>
      </c>
      <c r="D360" s="14"/>
      <c r="E360" s="14"/>
      <c r="F360" s="14" t="str">
        <f>IF(E360="","",IFERROR(INDEX(tblProductos[CATEGORIA],MATCH(E360,tblProductos[ITEM],0)),""))</f>
        <v/>
      </c>
      <c r="G360" s="15"/>
      <c r="H360" s="16"/>
      <c r="I360" s="16" t="str">
        <f>IF(E360="","",IFERROR(INDEX(tblProductos[PRECIO_VENTA],MATCH(E360,tblProductos[ITEM],0)),""))</f>
        <v/>
      </c>
      <c r="J360" s="16" t="str">
        <f t="shared" si="26"/>
        <v/>
      </c>
      <c r="K360" s="16" t="str">
        <f t="shared" si="27"/>
        <v/>
      </c>
      <c r="L360" s="16" t="str">
        <f>IF(E360="","",IFERROR(INDEX(tblProductos[COSTO TOTAL],MATCH(E360,tblProductos[ITEM],0)),""))</f>
        <v/>
      </c>
      <c r="M360" s="16" t="str">
        <f t="shared" si="28"/>
        <v/>
      </c>
      <c r="N360" s="16" t="str">
        <f t="shared" si="29"/>
        <v/>
      </c>
      <c r="O360" s="14" t="s">
        <v>34</v>
      </c>
      <c r="P360" s="14" t="s">
        <v>35</v>
      </c>
      <c r="Q360" s="14" t="s">
        <v>36</v>
      </c>
      <c r="R360" s="14"/>
      <c r="S360" t="str">
        <f>IF(E360="","",IFERROR(INDEX(tblProductos[STOCK_ACTUAL],MATCH(E360,tblProductos[ITEM],0)),""))</f>
        <v/>
      </c>
    </row>
    <row r="361" spans="1:19" x14ac:dyDescent="0.3">
      <c r="A361" s="40"/>
      <c r="B361" s="14" t="str">
        <f t="shared" si="25"/>
        <v/>
      </c>
      <c r="C361" s="14" t="str">
        <f>IF(D361="","",IFERROR(INDEX(tblClientes[ID],MATCH(D361,tblClientes[NOMBRE],0)),""))</f>
        <v/>
      </c>
      <c r="D361" s="14"/>
      <c r="E361" s="14"/>
      <c r="F361" s="14" t="str">
        <f>IF(E361="","",IFERROR(INDEX(tblProductos[CATEGORIA],MATCH(E361,tblProductos[ITEM],0)),""))</f>
        <v/>
      </c>
      <c r="G361" s="15"/>
      <c r="H361" s="16"/>
      <c r="I361" s="16" t="str">
        <f>IF(E361="","",IFERROR(INDEX(tblProductos[PRECIO_VENTA],MATCH(E361,tblProductos[ITEM],0)),""))</f>
        <v/>
      </c>
      <c r="J361" s="16" t="str">
        <f t="shared" si="26"/>
        <v/>
      </c>
      <c r="K361" s="16" t="str">
        <f t="shared" si="27"/>
        <v/>
      </c>
      <c r="L361" s="16" t="str">
        <f>IF(E361="","",IFERROR(INDEX(tblProductos[COSTO TOTAL],MATCH(E361,tblProductos[ITEM],0)),""))</f>
        <v/>
      </c>
      <c r="M361" s="16" t="str">
        <f t="shared" si="28"/>
        <v/>
      </c>
      <c r="N361" s="16" t="str">
        <f t="shared" si="29"/>
        <v/>
      </c>
      <c r="O361" s="14" t="s">
        <v>34</v>
      </c>
      <c r="P361" s="14" t="s">
        <v>35</v>
      </c>
      <c r="Q361" s="14" t="s">
        <v>36</v>
      </c>
      <c r="R361" s="14"/>
      <c r="S361" t="str">
        <f>IF(E361="","",IFERROR(INDEX(tblProductos[STOCK_ACTUAL],MATCH(E361,tblProductos[ITEM],0)),""))</f>
        <v/>
      </c>
    </row>
    <row r="362" spans="1:19" x14ac:dyDescent="0.3">
      <c r="A362" s="40"/>
      <c r="B362" s="14" t="str">
        <f t="shared" si="25"/>
        <v/>
      </c>
      <c r="C362" s="14" t="str">
        <f>IF(D362="","",IFERROR(INDEX(tblClientes[ID],MATCH(D362,tblClientes[NOMBRE],0)),""))</f>
        <v/>
      </c>
      <c r="D362" s="14"/>
      <c r="E362" s="14"/>
      <c r="F362" s="14" t="str">
        <f>IF(E362="","",IFERROR(INDEX(tblProductos[CATEGORIA],MATCH(E362,tblProductos[ITEM],0)),""))</f>
        <v/>
      </c>
      <c r="G362" s="15"/>
      <c r="H362" s="16"/>
      <c r="I362" s="16" t="str">
        <f>IF(E362="","",IFERROR(INDEX(tblProductos[PRECIO_VENTA],MATCH(E362,tblProductos[ITEM],0)),""))</f>
        <v/>
      </c>
      <c r="J362" s="16" t="str">
        <f t="shared" si="26"/>
        <v/>
      </c>
      <c r="K362" s="16" t="str">
        <f t="shared" si="27"/>
        <v/>
      </c>
      <c r="L362" s="16" t="str">
        <f>IF(E362="","",IFERROR(INDEX(tblProductos[COSTO TOTAL],MATCH(E362,tblProductos[ITEM],0)),""))</f>
        <v/>
      </c>
      <c r="M362" s="16" t="str">
        <f t="shared" si="28"/>
        <v/>
      </c>
      <c r="N362" s="16" t="str">
        <f t="shared" si="29"/>
        <v/>
      </c>
      <c r="O362" s="14" t="s">
        <v>34</v>
      </c>
      <c r="P362" s="14" t="s">
        <v>35</v>
      </c>
      <c r="Q362" s="14" t="s">
        <v>36</v>
      </c>
      <c r="R362" s="14"/>
      <c r="S362" t="str">
        <f>IF(E362="","",IFERROR(INDEX(tblProductos[STOCK_ACTUAL],MATCH(E362,tblProductos[ITEM],0)),""))</f>
        <v/>
      </c>
    </row>
    <row r="363" spans="1:19" x14ac:dyDescent="0.3">
      <c r="A363" s="40"/>
      <c r="B363" s="14" t="str">
        <f t="shared" si="25"/>
        <v/>
      </c>
      <c r="C363" s="14" t="str">
        <f>IF(D363="","",IFERROR(INDEX(tblClientes[ID],MATCH(D363,tblClientes[NOMBRE],0)),""))</f>
        <v/>
      </c>
      <c r="D363" s="14"/>
      <c r="E363" s="14"/>
      <c r="F363" s="14" t="str">
        <f>IF(E363="","",IFERROR(INDEX(tblProductos[CATEGORIA],MATCH(E363,tblProductos[ITEM],0)),""))</f>
        <v/>
      </c>
      <c r="G363" s="15"/>
      <c r="H363" s="16"/>
      <c r="I363" s="16" t="str">
        <f>IF(E363="","",IFERROR(INDEX(tblProductos[PRECIO_VENTA],MATCH(E363,tblProductos[ITEM],0)),""))</f>
        <v/>
      </c>
      <c r="J363" s="16" t="str">
        <f t="shared" si="26"/>
        <v/>
      </c>
      <c r="K363" s="16" t="str">
        <f t="shared" si="27"/>
        <v/>
      </c>
      <c r="L363" s="16" t="str">
        <f>IF(E363="","",IFERROR(INDEX(tblProductos[COSTO TOTAL],MATCH(E363,tblProductos[ITEM],0)),""))</f>
        <v/>
      </c>
      <c r="M363" s="16" t="str">
        <f t="shared" si="28"/>
        <v/>
      </c>
      <c r="N363" s="16" t="str">
        <f t="shared" si="29"/>
        <v/>
      </c>
      <c r="O363" s="14" t="s">
        <v>34</v>
      </c>
      <c r="P363" s="14" t="s">
        <v>35</v>
      </c>
      <c r="Q363" s="14" t="s">
        <v>36</v>
      </c>
      <c r="R363" s="14"/>
      <c r="S363" t="str">
        <f>IF(E363="","",IFERROR(INDEX(tblProductos[STOCK_ACTUAL],MATCH(E363,tblProductos[ITEM],0)),""))</f>
        <v/>
      </c>
    </row>
    <row r="364" spans="1:19" x14ac:dyDescent="0.3">
      <c r="A364" s="40"/>
      <c r="B364" s="14" t="str">
        <f t="shared" si="25"/>
        <v/>
      </c>
      <c r="C364" s="14" t="str">
        <f>IF(D364="","",IFERROR(INDEX(tblClientes[ID],MATCH(D364,tblClientes[NOMBRE],0)),""))</f>
        <v/>
      </c>
      <c r="D364" s="14"/>
      <c r="E364" s="14"/>
      <c r="F364" s="14" t="str">
        <f>IF(E364="","",IFERROR(INDEX(tblProductos[CATEGORIA],MATCH(E364,tblProductos[ITEM],0)),""))</f>
        <v/>
      </c>
      <c r="G364" s="15"/>
      <c r="H364" s="16"/>
      <c r="I364" s="16" t="str">
        <f>IF(E364="","",IFERROR(INDEX(tblProductos[PRECIO_VENTA],MATCH(E364,tblProductos[ITEM],0)),""))</f>
        <v/>
      </c>
      <c r="J364" s="16" t="str">
        <f t="shared" si="26"/>
        <v/>
      </c>
      <c r="K364" s="16" t="str">
        <f t="shared" si="27"/>
        <v/>
      </c>
      <c r="L364" s="16" t="str">
        <f>IF(E364="","",IFERROR(INDEX(tblProductos[COSTO TOTAL],MATCH(E364,tblProductos[ITEM],0)),""))</f>
        <v/>
      </c>
      <c r="M364" s="16" t="str">
        <f t="shared" si="28"/>
        <v/>
      </c>
      <c r="N364" s="16" t="str">
        <f t="shared" si="29"/>
        <v/>
      </c>
      <c r="O364" s="14" t="s">
        <v>34</v>
      </c>
      <c r="P364" s="14" t="s">
        <v>35</v>
      </c>
      <c r="Q364" s="14" t="s">
        <v>36</v>
      </c>
      <c r="R364" s="14"/>
      <c r="S364" t="str">
        <f>IF(E364="","",IFERROR(INDEX(tblProductos[STOCK_ACTUAL],MATCH(E364,tblProductos[ITEM],0)),""))</f>
        <v/>
      </c>
    </row>
    <row r="365" spans="1:19" x14ac:dyDescent="0.3">
      <c r="A365" s="40"/>
      <c r="B365" s="14" t="str">
        <f t="shared" si="25"/>
        <v/>
      </c>
      <c r="C365" s="14" t="str">
        <f>IF(D365="","",IFERROR(INDEX(tblClientes[ID],MATCH(D365,tblClientes[NOMBRE],0)),""))</f>
        <v/>
      </c>
      <c r="D365" s="14"/>
      <c r="E365" s="14"/>
      <c r="F365" s="14" t="str">
        <f>IF(E365="","",IFERROR(INDEX(tblProductos[CATEGORIA],MATCH(E365,tblProductos[ITEM],0)),""))</f>
        <v/>
      </c>
      <c r="G365" s="15"/>
      <c r="H365" s="16"/>
      <c r="I365" s="16" t="str">
        <f>IF(E365="","",IFERROR(INDEX(tblProductos[PRECIO_VENTA],MATCH(E365,tblProductos[ITEM],0)),""))</f>
        <v/>
      </c>
      <c r="J365" s="16" t="str">
        <f t="shared" si="26"/>
        <v/>
      </c>
      <c r="K365" s="16" t="str">
        <f t="shared" si="27"/>
        <v/>
      </c>
      <c r="L365" s="16" t="str">
        <f>IF(E365="","",IFERROR(INDEX(tblProductos[COSTO TOTAL],MATCH(E365,tblProductos[ITEM],0)),""))</f>
        <v/>
      </c>
      <c r="M365" s="16" t="str">
        <f t="shared" si="28"/>
        <v/>
      </c>
      <c r="N365" s="16" t="str">
        <f t="shared" si="29"/>
        <v/>
      </c>
      <c r="O365" s="14" t="s">
        <v>34</v>
      </c>
      <c r="P365" s="14" t="s">
        <v>35</v>
      </c>
      <c r="Q365" s="14" t="s">
        <v>36</v>
      </c>
      <c r="R365" s="14"/>
      <c r="S365" t="str">
        <f>IF(E365="","",IFERROR(INDEX(tblProductos[STOCK_ACTUAL],MATCH(E365,tblProductos[ITEM],0)),""))</f>
        <v/>
      </c>
    </row>
    <row r="366" spans="1:19" x14ac:dyDescent="0.3">
      <c r="A366" s="40"/>
      <c r="B366" s="14" t="str">
        <f t="shared" si="25"/>
        <v/>
      </c>
      <c r="C366" s="14" t="str">
        <f>IF(D366="","",IFERROR(INDEX(tblClientes[ID],MATCH(D366,tblClientes[NOMBRE],0)),""))</f>
        <v/>
      </c>
      <c r="D366" s="14"/>
      <c r="E366" s="14"/>
      <c r="F366" s="14" t="str">
        <f>IF(E366="","",IFERROR(INDEX(tblProductos[CATEGORIA],MATCH(E366,tblProductos[ITEM],0)),""))</f>
        <v/>
      </c>
      <c r="G366" s="15"/>
      <c r="H366" s="16"/>
      <c r="I366" s="16" t="str">
        <f>IF(E366="","",IFERROR(INDEX(tblProductos[PRECIO_VENTA],MATCH(E366,tblProductos[ITEM],0)),""))</f>
        <v/>
      </c>
      <c r="J366" s="16" t="str">
        <f t="shared" si="26"/>
        <v/>
      </c>
      <c r="K366" s="16" t="str">
        <f t="shared" si="27"/>
        <v/>
      </c>
      <c r="L366" s="16" t="str">
        <f>IF(E366="","",IFERROR(INDEX(tblProductos[COSTO TOTAL],MATCH(E366,tblProductos[ITEM],0)),""))</f>
        <v/>
      </c>
      <c r="M366" s="16" t="str">
        <f t="shared" si="28"/>
        <v/>
      </c>
      <c r="N366" s="16" t="str">
        <f t="shared" si="29"/>
        <v/>
      </c>
      <c r="O366" s="14" t="s">
        <v>34</v>
      </c>
      <c r="P366" s="14" t="s">
        <v>35</v>
      </c>
      <c r="Q366" s="14" t="s">
        <v>36</v>
      </c>
      <c r="R366" s="14"/>
      <c r="S366" t="str">
        <f>IF(E366="","",IFERROR(INDEX(tblProductos[STOCK_ACTUAL],MATCH(E366,tblProductos[ITEM],0)),""))</f>
        <v/>
      </c>
    </row>
    <row r="367" spans="1:19" x14ac:dyDescent="0.3">
      <c r="A367" s="40"/>
      <c r="B367" s="14" t="str">
        <f t="shared" si="25"/>
        <v/>
      </c>
      <c r="C367" s="14" t="str">
        <f>IF(D367="","",IFERROR(INDEX(tblClientes[ID],MATCH(D367,tblClientes[NOMBRE],0)),""))</f>
        <v/>
      </c>
      <c r="D367" s="14"/>
      <c r="E367" s="14"/>
      <c r="F367" s="14" t="str">
        <f>IF(E367="","",IFERROR(INDEX(tblProductos[CATEGORIA],MATCH(E367,tblProductos[ITEM],0)),""))</f>
        <v/>
      </c>
      <c r="G367" s="15"/>
      <c r="H367" s="16"/>
      <c r="I367" s="16" t="str">
        <f>IF(E367="","",IFERROR(INDEX(tblProductos[PRECIO_VENTA],MATCH(E367,tblProductos[ITEM],0)),""))</f>
        <v/>
      </c>
      <c r="J367" s="16" t="str">
        <f t="shared" si="26"/>
        <v/>
      </c>
      <c r="K367" s="16" t="str">
        <f t="shared" si="27"/>
        <v/>
      </c>
      <c r="L367" s="16" t="str">
        <f>IF(E367="","",IFERROR(INDEX(tblProductos[COSTO TOTAL],MATCH(E367,tblProductos[ITEM],0)),""))</f>
        <v/>
      </c>
      <c r="M367" s="16" t="str">
        <f t="shared" si="28"/>
        <v/>
      </c>
      <c r="N367" s="16" t="str">
        <f t="shared" si="29"/>
        <v/>
      </c>
      <c r="O367" s="14" t="s">
        <v>34</v>
      </c>
      <c r="P367" s="14" t="s">
        <v>35</v>
      </c>
      <c r="Q367" s="14" t="s">
        <v>36</v>
      </c>
      <c r="R367" s="14"/>
      <c r="S367" t="str">
        <f>IF(E367="","",IFERROR(INDEX(tblProductos[STOCK_ACTUAL],MATCH(E367,tblProductos[ITEM],0)),""))</f>
        <v/>
      </c>
    </row>
    <row r="368" spans="1:19" x14ac:dyDescent="0.3">
      <c r="A368" s="40"/>
      <c r="B368" s="14" t="str">
        <f t="shared" si="25"/>
        <v/>
      </c>
      <c r="C368" s="14" t="str">
        <f>IF(D368="","",IFERROR(INDEX(tblClientes[ID],MATCH(D368,tblClientes[NOMBRE],0)),""))</f>
        <v/>
      </c>
      <c r="D368" s="14"/>
      <c r="E368" s="14"/>
      <c r="F368" s="14" t="str">
        <f>IF(E368="","",IFERROR(INDEX(tblProductos[CATEGORIA],MATCH(E368,tblProductos[ITEM],0)),""))</f>
        <v/>
      </c>
      <c r="G368" s="15"/>
      <c r="H368" s="16"/>
      <c r="I368" s="16" t="str">
        <f>IF(E368="","",IFERROR(INDEX(tblProductos[PRECIO_VENTA],MATCH(E368,tblProductos[ITEM],0)),""))</f>
        <v/>
      </c>
      <c r="J368" s="16" t="str">
        <f t="shared" si="26"/>
        <v/>
      </c>
      <c r="K368" s="16" t="str">
        <f t="shared" si="27"/>
        <v/>
      </c>
      <c r="L368" s="16" t="str">
        <f>IF(E368="","",IFERROR(INDEX(tblProductos[COSTO TOTAL],MATCH(E368,tblProductos[ITEM],0)),""))</f>
        <v/>
      </c>
      <c r="M368" s="16" t="str">
        <f t="shared" si="28"/>
        <v/>
      </c>
      <c r="N368" s="16" t="str">
        <f t="shared" si="29"/>
        <v/>
      </c>
      <c r="O368" s="14" t="s">
        <v>34</v>
      </c>
      <c r="P368" s="14" t="s">
        <v>35</v>
      </c>
      <c r="Q368" s="14" t="s">
        <v>36</v>
      </c>
      <c r="R368" s="14"/>
      <c r="S368" t="str">
        <f>IF(E368="","",IFERROR(INDEX(tblProductos[STOCK_ACTUAL],MATCH(E368,tblProductos[ITEM],0)),""))</f>
        <v/>
      </c>
    </row>
    <row r="369" spans="1:19" x14ac:dyDescent="0.3">
      <c r="A369" s="40"/>
      <c r="B369" s="14" t="str">
        <f t="shared" si="25"/>
        <v/>
      </c>
      <c r="C369" s="14" t="str">
        <f>IF(D369="","",IFERROR(INDEX(tblClientes[ID],MATCH(D369,tblClientes[NOMBRE],0)),""))</f>
        <v/>
      </c>
      <c r="D369" s="14"/>
      <c r="E369" s="14"/>
      <c r="F369" s="14" t="str">
        <f>IF(E369="","",IFERROR(INDEX(tblProductos[CATEGORIA],MATCH(E369,tblProductos[ITEM],0)),""))</f>
        <v/>
      </c>
      <c r="G369" s="15"/>
      <c r="H369" s="16"/>
      <c r="I369" s="16" t="str">
        <f>IF(E369="","",IFERROR(INDEX(tblProductos[PRECIO_VENTA],MATCH(E369,tblProductos[ITEM],0)),""))</f>
        <v/>
      </c>
      <c r="J369" s="16" t="str">
        <f t="shared" si="26"/>
        <v/>
      </c>
      <c r="K369" s="16" t="str">
        <f t="shared" si="27"/>
        <v/>
      </c>
      <c r="L369" s="16" t="str">
        <f>IF(E369="","",IFERROR(INDEX(tblProductos[COSTO TOTAL],MATCH(E369,tblProductos[ITEM],0)),""))</f>
        <v/>
      </c>
      <c r="M369" s="16" t="str">
        <f t="shared" si="28"/>
        <v/>
      </c>
      <c r="N369" s="16" t="str">
        <f t="shared" si="29"/>
        <v/>
      </c>
      <c r="O369" s="14" t="s">
        <v>34</v>
      </c>
      <c r="P369" s="14" t="s">
        <v>35</v>
      </c>
      <c r="Q369" s="14" t="s">
        <v>36</v>
      </c>
      <c r="R369" s="14"/>
      <c r="S369" t="str">
        <f>IF(E369="","",IFERROR(INDEX(tblProductos[STOCK_ACTUAL],MATCH(E369,tblProductos[ITEM],0)),""))</f>
        <v/>
      </c>
    </row>
    <row r="370" spans="1:19" x14ac:dyDescent="0.3">
      <c r="A370" s="40"/>
      <c r="B370" s="14" t="str">
        <f t="shared" si="25"/>
        <v/>
      </c>
      <c r="C370" s="14" t="str">
        <f>IF(D370="","",IFERROR(INDEX(tblClientes[ID],MATCH(D370,tblClientes[NOMBRE],0)),""))</f>
        <v/>
      </c>
      <c r="D370" s="14"/>
      <c r="E370" s="14"/>
      <c r="F370" s="14" t="str">
        <f>IF(E370="","",IFERROR(INDEX(tblProductos[CATEGORIA],MATCH(E370,tblProductos[ITEM],0)),""))</f>
        <v/>
      </c>
      <c r="G370" s="15"/>
      <c r="H370" s="16"/>
      <c r="I370" s="16" t="str">
        <f>IF(E370="","",IFERROR(INDEX(tblProductos[PRECIO_VENTA],MATCH(E370,tblProductos[ITEM],0)),""))</f>
        <v/>
      </c>
      <c r="J370" s="16" t="str">
        <f t="shared" si="26"/>
        <v/>
      </c>
      <c r="K370" s="16" t="str">
        <f t="shared" si="27"/>
        <v/>
      </c>
      <c r="L370" s="16" t="str">
        <f>IF(E370="","",IFERROR(INDEX(tblProductos[COSTO TOTAL],MATCH(E370,tblProductos[ITEM],0)),""))</f>
        <v/>
      </c>
      <c r="M370" s="16" t="str">
        <f t="shared" si="28"/>
        <v/>
      </c>
      <c r="N370" s="16" t="str">
        <f t="shared" si="29"/>
        <v/>
      </c>
      <c r="O370" s="14" t="s">
        <v>34</v>
      </c>
      <c r="P370" s="14" t="s">
        <v>35</v>
      </c>
      <c r="Q370" s="14" t="s">
        <v>36</v>
      </c>
      <c r="R370" s="14"/>
      <c r="S370" t="str">
        <f>IF(E370="","",IFERROR(INDEX(tblProductos[STOCK_ACTUAL],MATCH(E370,tblProductos[ITEM],0)),""))</f>
        <v/>
      </c>
    </row>
    <row r="371" spans="1:19" x14ac:dyDescent="0.3">
      <c r="A371" s="40"/>
      <c r="B371" s="14" t="str">
        <f t="shared" si="25"/>
        <v/>
      </c>
      <c r="C371" s="14" t="str">
        <f>IF(D371="","",IFERROR(INDEX(tblClientes[ID],MATCH(D371,tblClientes[NOMBRE],0)),""))</f>
        <v/>
      </c>
      <c r="D371" s="14"/>
      <c r="E371" s="14"/>
      <c r="F371" s="14" t="str">
        <f>IF(E371="","",IFERROR(INDEX(tblProductos[CATEGORIA],MATCH(E371,tblProductos[ITEM],0)),""))</f>
        <v/>
      </c>
      <c r="G371" s="15"/>
      <c r="H371" s="16"/>
      <c r="I371" s="16" t="str">
        <f>IF(E371="","",IFERROR(INDEX(tblProductos[PRECIO_VENTA],MATCH(E371,tblProductos[ITEM],0)),""))</f>
        <v/>
      </c>
      <c r="J371" s="16" t="str">
        <f t="shared" si="26"/>
        <v/>
      </c>
      <c r="K371" s="16" t="str">
        <f t="shared" si="27"/>
        <v/>
      </c>
      <c r="L371" s="16" t="str">
        <f>IF(E371="","",IFERROR(INDEX(tblProductos[COSTO TOTAL],MATCH(E371,tblProductos[ITEM],0)),""))</f>
        <v/>
      </c>
      <c r="M371" s="16" t="str">
        <f t="shared" si="28"/>
        <v/>
      </c>
      <c r="N371" s="16" t="str">
        <f t="shared" si="29"/>
        <v/>
      </c>
      <c r="O371" s="14" t="s">
        <v>34</v>
      </c>
      <c r="P371" s="14" t="s">
        <v>35</v>
      </c>
      <c r="Q371" s="14" t="s">
        <v>36</v>
      </c>
      <c r="R371" s="14"/>
      <c r="S371" t="str">
        <f>IF(E371="","",IFERROR(INDEX(tblProductos[STOCK_ACTUAL],MATCH(E371,tblProductos[ITEM],0)),""))</f>
        <v/>
      </c>
    </row>
    <row r="372" spans="1:19" x14ac:dyDescent="0.3">
      <c r="A372" s="40"/>
      <c r="B372" s="14" t="str">
        <f t="shared" si="25"/>
        <v/>
      </c>
      <c r="C372" s="14" t="str">
        <f>IF(D372="","",IFERROR(INDEX(tblClientes[ID],MATCH(D372,tblClientes[NOMBRE],0)),""))</f>
        <v/>
      </c>
      <c r="D372" s="14"/>
      <c r="E372" s="14"/>
      <c r="F372" s="14" t="str">
        <f>IF(E372="","",IFERROR(INDEX(tblProductos[CATEGORIA],MATCH(E372,tblProductos[ITEM],0)),""))</f>
        <v/>
      </c>
      <c r="G372" s="15"/>
      <c r="H372" s="16"/>
      <c r="I372" s="16" t="str">
        <f>IF(E372="","",IFERROR(INDEX(tblProductos[PRECIO_VENTA],MATCH(E372,tblProductos[ITEM],0)),""))</f>
        <v/>
      </c>
      <c r="J372" s="16" t="str">
        <f t="shared" si="26"/>
        <v/>
      </c>
      <c r="K372" s="16" t="str">
        <f t="shared" si="27"/>
        <v/>
      </c>
      <c r="L372" s="16" t="str">
        <f>IF(E372="","",IFERROR(INDEX(tblProductos[COSTO TOTAL],MATCH(E372,tblProductos[ITEM],0)),""))</f>
        <v/>
      </c>
      <c r="M372" s="16" t="str">
        <f t="shared" si="28"/>
        <v/>
      </c>
      <c r="N372" s="16" t="str">
        <f t="shared" si="29"/>
        <v/>
      </c>
      <c r="O372" s="14" t="s">
        <v>34</v>
      </c>
      <c r="P372" s="14" t="s">
        <v>35</v>
      </c>
      <c r="Q372" s="14" t="s">
        <v>36</v>
      </c>
      <c r="R372" s="14"/>
      <c r="S372" t="str">
        <f>IF(E372="","",IFERROR(INDEX(tblProductos[STOCK_ACTUAL],MATCH(E372,tblProductos[ITEM],0)),""))</f>
        <v/>
      </c>
    </row>
    <row r="373" spans="1:19" x14ac:dyDescent="0.3">
      <c r="A373" s="40"/>
      <c r="B373" s="14" t="str">
        <f t="shared" si="25"/>
        <v/>
      </c>
      <c r="C373" s="14" t="str">
        <f>IF(D373="","",IFERROR(INDEX(tblClientes[ID],MATCH(D373,tblClientes[NOMBRE],0)),""))</f>
        <v/>
      </c>
      <c r="D373" s="14"/>
      <c r="E373" s="14"/>
      <c r="F373" s="14" t="str">
        <f>IF(E373="","",IFERROR(INDEX(tblProductos[CATEGORIA],MATCH(E373,tblProductos[ITEM],0)),""))</f>
        <v/>
      </c>
      <c r="G373" s="15"/>
      <c r="H373" s="16"/>
      <c r="I373" s="16" t="str">
        <f>IF(E373="","",IFERROR(INDEX(tblProductos[PRECIO_VENTA],MATCH(E373,tblProductos[ITEM],0)),""))</f>
        <v/>
      </c>
      <c r="J373" s="16" t="str">
        <f t="shared" si="26"/>
        <v/>
      </c>
      <c r="K373" s="16" t="str">
        <f t="shared" si="27"/>
        <v/>
      </c>
      <c r="L373" s="16" t="str">
        <f>IF(E373="","",IFERROR(INDEX(tblProductos[COSTO TOTAL],MATCH(E373,tblProductos[ITEM],0)),""))</f>
        <v/>
      </c>
      <c r="M373" s="16" t="str">
        <f t="shared" si="28"/>
        <v/>
      </c>
      <c r="N373" s="16" t="str">
        <f t="shared" si="29"/>
        <v/>
      </c>
      <c r="O373" s="14" t="s">
        <v>34</v>
      </c>
      <c r="P373" s="14" t="s">
        <v>35</v>
      </c>
      <c r="Q373" s="14" t="s">
        <v>36</v>
      </c>
      <c r="R373" s="14"/>
      <c r="S373" t="str">
        <f>IF(E373="","",IFERROR(INDEX(tblProductos[STOCK_ACTUAL],MATCH(E373,tblProductos[ITEM],0)),""))</f>
        <v/>
      </c>
    </row>
    <row r="374" spans="1:19" x14ac:dyDescent="0.3">
      <c r="A374" s="40"/>
      <c r="B374" s="14" t="str">
        <f t="shared" si="25"/>
        <v/>
      </c>
      <c r="C374" s="14" t="str">
        <f>IF(D374="","",IFERROR(INDEX(tblClientes[ID],MATCH(D374,tblClientes[NOMBRE],0)),""))</f>
        <v/>
      </c>
      <c r="D374" s="14"/>
      <c r="E374" s="14"/>
      <c r="F374" s="14" t="str">
        <f>IF(E374="","",IFERROR(INDEX(tblProductos[CATEGORIA],MATCH(E374,tblProductos[ITEM],0)),""))</f>
        <v/>
      </c>
      <c r="G374" s="15"/>
      <c r="H374" s="16"/>
      <c r="I374" s="16" t="str">
        <f>IF(E374="","",IFERROR(INDEX(tblProductos[PRECIO_VENTA],MATCH(E374,tblProductos[ITEM],0)),""))</f>
        <v/>
      </c>
      <c r="J374" s="16" t="str">
        <f t="shared" si="26"/>
        <v/>
      </c>
      <c r="K374" s="16" t="str">
        <f t="shared" si="27"/>
        <v/>
      </c>
      <c r="L374" s="16" t="str">
        <f>IF(E374="","",IFERROR(INDEX(tblProductos[COSTO TOTAL],MATCH(E374,tblProductos[ITEM],0)),""))</f>
        <v/>
      </c>
      <c r="M374" s="16" t="str">
        <f t="shared" si="28"/>
        <v/>
      </c>
      <c r="N374" s="16" t="str">
        <f t="shared" si="29"/>
        <v/>
      </c>
      <c r="O374" s="14" t="s">
        <v>34</v>
      </c>
      <c r="P374" s="14" t="s">
        <v>35</v>
      </c>
      <c r="Q374" s="14" t="s">
        <v>36</v>
      </c>
      <c r="R374" s="14"/>
      <c r="S374" t="str">
        <f>IF(E374="","",IFERROR(INDEX(tblProductos[STOCK_ACTUAL],MATCH(E374,tblProductos[ITEM],0)),""))</f>
        <v/>
      </c>
    </row>
    <row r="375" spans="1:19" x14ac:dyDescent="0.3">
      <c r="A375" s="40"/>
      <c r="B375" s="14" t="str">
        <f t="shared" si="25"/>
        <v/>
      </c>
      <c r="C375" s="14" t="str">
        <f>IF(D375="","",IFERROR(INDEX(tblClientes[ID],MATCH(D375,tblClientes[NOMBRE],0)),""))</f>
        <v/>
      </c>
      <c r="D375" s="14"/>
      <c r="E375" s="14"/>
      <c r="F375" s="14" t="str">
        <f>IF(E375="","",IFERROR(INDEX(tblProductos[CATEGORIA],MATCH(E375,tblProductos[ITEM],0)),""))</f>
        <v/>
      </c>
      <c r="G375" s="15"/>
      <c r="H375" s="16"/>
      <c r="I375" s="16" t="str">
        <f>IF(E375="","",IFERROR(INDEX(tblProductos[PRECIO_VENTA],MATCH(E375,tblProductos[ITEM],0)),""))</f>
        <v/>
      </c>
      <c r="J375" s="16" t="str">
        <f t="shared" si="26"/>
        <v/>
      </c>
      <c r="K375" s="16" t="str">
        <f t="shared" si="27"/>
        <v/>
      </c>
      <c r="L375" s="16" t="str">
        <f>IF(E375="","",IFERROR(INDEX(tblProductos[COSTO TOTAL],MATCH(E375,tblProductos[ITEM],0)),""))</f>
        <v/>
      </c>
      <c r="M375" s="16" t="str">
        <f t="shared" si="28"/>
        <v/>
      </c>
      <c r="N375" s="16" t="str">
        <f t="shared" si="29"/>
        <v/>
      </c>
      <c r="O375" s="14" t="s">
        <v>34</v>
      </c>
      <c r="P375" s="14" t="s">
        <v>35</v>
      </c>
      <c r="Q375" s="14" t="s">
        <v>36</v>
      </c>
      <c r="R375" s="14"/>
      <c r="S375" t="str">
        <f>IF(E375="","",IFERROR(INDEX(tblProductos[STOCK_ACTUAL],MATCH(E375,tblProductos[ITEM],0)),""))</f>
        <v/>
      </c>
    </row>
    <row r="376" spans="1:19" x14ac:dyDescent="0.3">
      <c r="A376" s="40"/>
      <c r="B376" s="14" t="str">
        <f t="shared" si="25"/>
        <v/>
      </c>
      <c r="C376" s="14" t="str">
        <f>IF(D376="","",IFERROR(INDEX(tblClientes[ID],MATCH(D376,tblClientes[NOMBRE],0)),""))</f>
        <v/>
      </c>
      <c r="D376" s="14"/>
      <c r="E376" s="14"/>
      <c r="F376" s="14" t="str">
        <f>IF(E376="","",IFERROR(INDEX(tblProductos[CATEGORIA],MATCH(E376,tblProductos[ITEM],0)),""))</f>
        <v/>
      </c>
      <c r="G376" s="15"/>
      <c r="H376" s="16"/>
      <c r="I376" s="16" t="str">
        <f>IF(E376="","",IFERROR(INDEX(tblProductos[PRECIO_VENTA],MATCH(E376,tblProductos[ITEM],0)),""))</f>
        <v/>
      </c>
      <c r="J376" s="16" t="str">
        <f t="shared" si="26"/>
        <v/>
      </c>
      <c r="K376" s="16" t="str">
        <f t="shared" si="27"/>
        <v/>
      </c>
      <c r="L376" s="16" t="str">
        <f>IF(E376="","",IFERROR(INDEX(tblProductos[COSTO TOTAL],MATCH(E376,tblProductos[ITEM],0)),""))</f>
        <v/>
      </c>
      <c r="M376" s="16" t="str">
        <f t="shared" si="28"/>
        <v/>
      </c>
      <c r="N376" s="16" t="str">
        <f t="shared" si="29"/>
        <v/>
      </c>
      <c r="O376" s="14" t="s">
        <v>34</v>
      </c>
      <c r="P376" s="14" t="s">
        <v>35</v>
      </c>
      <c r="Q376" s="14" t="s">
        <v>36</v>
      </c>
      <c r="R376" s="14"/>
      <c r="S376" t="str">
        <f>IF(E376="","",IFERROR(INDEX(tblProductos[STOCK_ACTUAL],MATCH(E376,tblProductos[ITEM],0)),""))</f>
        <v/>
      </c>
    </row>
    <row r="377" spans="1:19" x14ac:dyDescent="0.3">
      <c r="A377" s="40"/>
      <c r="B377" s="14" t="str">
        <f t="shared" si="25"/>
        <v/>
      </c>
      <c r="C377" s="14" t="str">
        <f>IF(D377="","",IFERROR(INDEX(tblClientes[ID],MATCH(D377,tblClientes[NOMBRE],0)),""))</f>
        <v/>
      </c>
      <c r="D377" s="14"/>
      <c r="E377" s="14"/>
      <c r="F377" s="14" t="str">
        <f>IF(E377="","",IFERROR(INDEX(tblProductos[CATEGORIA],MATCH(E377,tblProductos[ITEM],0)),""))</f>
        <v/>
      </c>
      <c r="G377" s="15"/>
      <c r="H377" s="16"/>
      <c r="I377" s="16" t="str">
        <f>IF(E377="","",IFERROR(INDEX(tblProductos[PRECIO_VENTA],MATCH(E377,tblProductos[ITEM],0)),""))</f>
        <v/>
      </c>
      <c r="J377" s="16" t="str">
        <f t="shared" si="26"/>
        <v/>
      </c>
      <c r="K377" s="16" t="str">
        <f t="shared" si="27"/>
        <v/>
      </c>
      <c r="L377" s="16" t="str">
        <f>IF(E377="","",IFERROR(INDEX(tblProductos[COSTO TOTAL],MATCH(E377,tblProductos[ITEM],0)),""))</f>
        <v/>
      </c>
      <c r="M377" s="16" t="str">
        <f t="shared" si="28"/>
        <v/>
      </c>
      <c r="N377" s="16" t="str">
        <f t="shared" si="29"/>
        <v/>
      </c>
      <c r="O377" s="14" t="s">
        <v>34</v>
      </c>
      <c r="P377" s="14" t="s">
        <v>35</v>
      </c>
      <c r="Q377" s="14" t="s">
        <v>36</v>
      </c>
      <c r="R377" s="14"/>
      <c r="S377" t="str">
        <f>IF(E377="","",IFERROR(INDEX(tblProductos[STOCK_ACTUAL],MATCH(E377,tblProductos[ITEM],0)),""))</f>
        <v/>
      </c>
    </row>
    <row r="378" spans="1:19" x14ac:dyDescent="0.3">
      <c r="A378" s="40"/>
      <c r="B378" s="14" t="str">
        <f t="shared" si="25"/>
        <v/>
      </c>
      <c r="C378" s="14" t="str">
        <f>IF(D378="","",IFERROR(INDEX(tblClientes[ID],MATCH(D378,tblClientes[NOMBRE],0)),""))</f>
        <v/>
      </c>
      <c r="D378" s="14"/>
      <c r="E378" s="14"/>
      <c r="F378" s="14" t="str">
        <f>IF(E378="","",IFERROR(INDEX(tblProductos[CATEGORIA],MATCH(E378,tblProductos[ITEM],0)),""))</f>
        <v/>
      </c>
      <c r="G378" s="15"/>
      <c r="H378" s="16"/>
      <c r="I378" s="16" t="str">
        <f>IF(E378="","",IFERROR(INDEX(tblProductos[PRECIO_VENTA],MATCH(E378,tblProductos[ITEM],0)),""))</f>
        <v/>
      </c>
      <c r="J378" s="16" t="str">
        <f t="shared" si="26"/>
        <v/>
      </c>
      <c r="K378" s="16" t="str">
        <f t="shared" si="27"/>
        <v/>
      </c>
      <c r="L378" s="16" t="str">
        <f>IF(E378="","",IFERROR(INDEX(tblProductos[COSTO TOTAL],MATCH(E378,tblProductos[ITEM],0)),""))</f>
        <v/>
      </c>
      <c r="M378" s="16" t="str">
        <f t="shared" si="28"/>
        <v/>
      </c>
      <c r="N378" s="16" t="str">
        <f t="shared" si="29"/>
        <v/>
      </c>
      <c r="O378" s="14" t="s">
        <v>34</v>
      </c>
      <c r="P378" s="14" t="s">
        <v>35</v>
      </c>
      <c r="Q378" s="14" t="s">
        <v>36</v>
      </c>
      <c r="R378" s="14"/>
      <c r="S378" t="str">
        <f>IF(E378="","",IFERROR(INDEX(tblProductos[STOCK_ACTUAL],MATCH(E378,tblProductos[ITEM],0)),""))</f>
        <v/>
      </c>
    </row>
    <row r="379" spans="1:19" x14ac:dyDescent="0.3">
      <c r="A379" s="40"/>
      <c r="B379" s="14" t="str">
        <f t="shared" si="25"/>
        <v/>
      </c>
      <c r="C379" s="14" t="str">
        <f>IF(D379="","",IFERROR(INDEX(tblClientes[ID],MATCH(D379,tblClientes[NOMBRE],0)),""))</f>
        <v/>
      </c>
      <c r="D379" s="14"/>
      <c r="E379" s="14"/>
      <c r="F379" s="14" t="str">
        <f>IF(E379="","",IFERROR(INDEX(tblProductos[CATEGORIA],MATCH(E379,tblProductos[ITEM],0)),""))</f>
        <v/>
      </c>
      <c r="G379" s="15"/>
      <c r="H379" s="16"/>
      <c r="I379" s="16" t="str">
        <f>IF(E379="","",IFERROR(INDEX(tblProductos[PRECIO_VENTA],MATCH(E379,tblProductos[ITEM],0)),""))</f>
        <v/>
      </c>
      <c r="J379" s="16" t="str">
        <f t="shared" si="26"/>
        <v/>
      </c>
      <c r="K379" s="16" t="str">
        <f t="shared" si="27"/>
        <v/>
      </c>
      <c r="L379" s="16" t="str">
        <f>IF(E379="","",IFERROR(INDEX(tblProductos[COSTO TOTAL],MATCH(E379,tblProductos[ITEM],0)),""))</f>
        <v/>
      </c>
      <c r="M379" s="16" t="str">
        <f t="shared" si="28"/>
        <v/>
      </c>
      <c r="N379" s="16" t="str">
        <f t="shared" si="29"/>
        <v/>
      </c>
      <c r="O379" s="14" t="s">
        <v>34</v>
      </c>
      <c r="P379" s="14" t="s">
        <v>35</v>
      </c>
      <c r="Q379" s="14" t="s">
        <v>36</v>
      </c>
      <c r="R379" s="14"/>
      <c r="S379" t="str">
        <f>IF(E379="","",IFERROR(INDEX(tblProductos[STOCK_ACTUAL],MATCH(E379,tblProductos[ITEM],0)),""))</f>
        <v/>
      </c>
    </row>
    <row r="380" spans="1:19" x14ac:dyDescent="0.3">
      <c r="A380" s="40"/>
      <c r="B380" s="14" t="str">
        <f t="shared" si="25"/>
        <v/>
      </c>
      <c r="C380" s="14" t="str">
        <f>IF(D380="","",IFERROR(INDEX(tblClientes[ID],MATCH(D380,tblClientes[NOMBRE],0)),""))</f>
        <v/>
      </c>
      <c r="D380" s="14"/>
      <c r="E380" s="14"/>
      <c r="F380" s="14" t="str">
        <f>IF(E380="","",IFERROR(INDEX(tblProductos[CATEGORIA],MATCH(E380,tblProductos[ITEM],0)),""))</f>
        <v/>
      </c>
      <c r="G380" s="15"/>
      <c r="H380" s="16"/>
      <c r="I380" s="16" t="str">
        <f>IF(E380="","",IFERROR(INDEX(tblProductos[PRECIO_VENTA],MATCH(E380,tblProductos[ITEM],0)),""))</f>
        <v/>
      </c>
      <c r="J380" s="16" t="str">
        <f t="shared" si="26"/>
        <v/>
      </c>
      <c r="K380" s="16" t="str">
        <f t="shared" si="27"/>
        <v/>
      </c>
      <c r="L380" s="16" t="str">
        <f>IF(E380="","",IFERROR(INDEX(tblProductos[COSTO TOTAL],MATCH(E380,tblProductos[ITEM],0)),""))</f>
        <v/>
      </c>
      <c r="M380" s="16" t="str">
        <f t="shared" si="28"/>
        <v/>
      </c>
      <c r="N380" s="16" t="str">
        <f t="shared" si="29"/>
        <v/>
      </c>
      <c r="O380" s="14" t="s">
        <v>34</v>
      </c>
      <c r="P380" s="14" t="s">
        <v>35</v>
      </c>
      <c r="Q380" s="14" t="s">
        <v>36</v>
      </c>
      <c r="R380" s="14"/>
      <c r="S380" t="str">
        <f>IF(E380="","",IFERROR(INDEX(tblProductos[STOCK_ACTUAL],MATCH(E380,tblProductos[ITEM],0)),""))</f>
        <v/>
      </c>
    </row>
    <row r="381" spans="1:19" x14ac:dyDescent="0.3">
      <c r="A381" s="40"/>
      <c r="B381" s="14" t="str">
        <f t="shared" si="25"/>
        <v/>
      </c>
      <c r="C381" s="14" t="str">
        <f>IF(D381="","",IFERROR(INDEX(tblClientes[ID],MATCH(D381,tblClientes[NOMBRE],0)),""))</f>
        <v/>
      </c>
      <c r="D381" s="14"/>
      <c r="E381" s="14"/>
      <c r="F381" s="14" t="str">
        <f>IF(E381="","",IFERROR(INDEX(tblProductos[CATEGORIA],MATCH(E381,tblProductos[ITEM],0)),""))</f>
        <v/>
      </c>
      <c r="G381" s="15"/>
      <c r="H381" s="16"/>
      <c r="I381" s="16" t="str">
        <f>IF(E381="","",IFERROR(INDEX(tblProductos[PRECIO_VENTA],MATCH(E381,tblProductos[ITEM],0)),""))</f>
        <v/>
      </c>
      <c r="J381" s="16" t="str">
        <f t="shared" si="26"/>
        <v/>
      </c>
      <c r="K381" s="16" t="str">
        <f t="shared" si="27"/>
        <v/>
      </c>
      <c r="L381" s="16" t="str">
        <f>IF(E381="","",IFERROR(INDEX(tblProductos[COSTO TOTAL],MATCH(E381,tblProductos[ITEM],0)),""))</f>
        <v/>
      </c>
      <c r="M381" s="16" t="str">
        <f t="shared" si="28"/>
        <v/>
      </c>
      <c r="N381" s="16" t="str">
        <f t="shared" si="29"/>
        <v/>
      </c>
      <c r="O381" s="14" t="s">
        <v>34</v>
      </c>
      <c r="P381" s="14" t="s">
        <v>35</v>
      </c>
      <c r="Q381" s="14" t="s">
        <v>36</v>
      </c>
      <c r="R381" s="14"/>
      <c r="S381" t="str">
        <f>IF(E381="","",IFERROR(INDEX(tblProductos[STOCK_ACTUAL],MATCH(E381,tblProductos[ITEM],0)),""))</f>
        <v/>
      </c>
    </row>
    <row r="382" spans="1:19" x14ac:dyDescent="0.3">
      <c r="A382" s="40"/>
      <c r="B382" s="14" t="str">
        <f t="shared" si="25"/>
        <v/>
      </c>
      <c r="C382" s="14" t="str">
        <f>IF(D382="","",IFERROR(INDEX(tblClientes[ID],MATCH(D382,tblClientes[NOMBRE],0)),""))</f>
        <v/>
      </c>
      <c r="D382" s="14"/>
      <c r="E382" s="14"/>
      <c r="F382" s="14" t="str">
        <f>IF(E382="","",IFERROR(INDEX(tblProductos[CATEGORIA],MATCH(E382,tblProductos[ITEM],0)),""))</f>
        <v/>
      </c>
      <c r="G382" s="15"/>
      <c r="H382" s="16"/>
      <c r="I382" s="16" t="str">
        <f>IF(E382="","",IFERROR(INDEX(tblProductos[PRECIO_VENTA],MATCH(E382,tblProductos[ITEM],0)),""))</f>
        <v/>
      </c>
      <c r="J382" s="16" t="str">
        <f t="shared" si="26"/>
        <v/>
      </c>
      <c r="K382" s="16" t="str">
        <f t="shared" si="27"/>
        <v/>
      </c>
      <c r="L382" s="16" t="str">
        <f>IF(E382="","",IFERROR(INDEX(tblProductos[COSTO TOTAL],MATCH(E382,tblProductos[ITEM],0)),""))</f>
        <v/>
      </c>
      <c r="M382" s="16" t="str">
        <f t="shared" si="28"/>
        <v/>
      </c>
      <c r="N382" s="16" t="str">
        <f t="shared" si="29"/>
        <v/>
      </c>
      <c r="O382" s="14" t="s">
        <v>34</v>
      </c>
      <c r="P382" s="14" t="s">
        <v>35</v>
      </c>
      <c r="Q382" s="14" t="s">
        <v>36</v>
      </c>
      <c r="R382" s="14"/>
      <c r="S382" t="str">
        <f>IF(E382="","",IFERROR(INDEX(tblProductos[STOCK_ACTUAL],MATCH(E382,tblProductos[ITEM],0)),""))</f>
        <v/>
      </c>
    </row>
    <row r="383" spans="1:19" x14ac:dyDescent="0.3">
      <c r="A383" s="40"/>
      <c r="B383" s="14" t="str">
        <f t="shared" si="25"/>
        <v/>
      </c>
      <c r="C383" s="14" t="str">
        <f>IF(D383="","",IFERROR(INDEX(tblClientes[ID],MATCH(D383,tblClientes[NOMBRE],0)),""))</f>
        <v/>
      </c>
      <c r="D383" s="14"/>
      <c r="E383" s="14"/>
      <c r="F383" s="14" t="str">
        <f>IF(E383="","",IFERROR(INDEX(tblProductos[CATEGORIA],MATCH(E383,tblProductos[ITEM],0)),""))</f>
        <v/>
      </c>
      <c r="G383" s="15"/>
      <c r="H383" s="16"/>
      <c r="I383" s="16" t="str">
        <f>IF(E383="","",IFERROR(INDEX(tblProductos[PRECIO_VENTA],MATCH(E383,tblProductos[ITEM],0)),""))</f>
        <v/>
      </c>
      <c r="J383" s="16" t="str">
        <f t="shared" si="26"/>
        <v/>
      </c>
      <c r="K383" s="16" t="str">
        <f t="shared" si="27"/>
        <v/>
      </c>
      <c r="L383" s="16" t="str">
        <f>IF(E383="","",IFERROR(INDEX(tblProductos[COSTO TOTAL],MATCH(E383,tblProductos[ITEM],0)),""))</f>
        <v/>
      </c>
      <c r="M383" s="16" t="str">
        <f t="shared" si="28"/>
        <v/>
      </c>
      <c r="N383" s="16" t="str">
        <f t="shared" si="29"/>
        <v/>
      </c>
      <c r="O383" s="14" t="s">
        <v>34</v>
      </c>
      <c r="P383" s="14" t="s">
        <v>35</v>
      </c>
      <c r="Q383" s="14" t="s">
        <v>36</v>
      </c>
      <c r="R383" s="14"/>
      <c r="S383" t="str">
        <f>IF(E383="","",IFERROR(INDEX(tblProductos[STOCK_ACTUAL],MATCH(E383,tblProductos[ITEM],0)),""))</f>
        <v/>
      </c>
    </row>
    <row r="384" spans="1:19" x14ac:dyDescent="0.3">
      <c r="A384" s="40"/>
      <c r="B384" s="14" t="str">
        <f t="shared" si="25"/>
        <v/>
      </c>
      <c r="C384" s="14" t="str">
        <f>IF(D384="","",IFERROR(INDEX(tblClientes[ID],MATCH(D384,tblClientes[NOMBRE],0)),""))</f>
        <v/>
      </c>
      <c r="D384" s="14"/>
      <c r="E384" s="14"/>
      <c r="F384" s="14" t="str">
        <f>IF(E384="","",IFERROR(INDEX(tblProductos[CATEGORIA],MATCH(E384,tblProductos[ITEM],0)),""))</f>
        <v/>
      </c>
      <c r="G384" s="15"/>
      <c r="H384" s="16"/>
      <c r="I384" s="16" t="str">
        <f>IF(E384="","",IFERROR(INDEX(tblProductos[PRECIO_VENTA],MATCH(E384,tblProductos[ITEM],0)),""))</f>
        <v/>
      </c>
      <c r="J384" s="16" t="str">
        <f t="shared" si="26"/>
        <v/>
      </c>
      <c r="K384" s="16" t="str">
        <f t="shared" si="27"/>
        <v/>
      </c>
      <c r="L384" s="16" t="str">
        <f>IF(E384="","",IFERROR(INDEX(tblProductos[COSTO TOTAL],MATCH(E384,tblProductos[ITEM],0)),""))</f>
        <v/>
      </c>
      <c r="M384" s="16" t="str">
        <f t="shared" si="28"/>
        <v/>
      </c>
      <c r="N384" s="16" t="str">
        <f t="shared" si="29"/>
        <v/>
      </c>
      <c r="O384" s="14" t="s">
        <v>34</v>
      </c>
      <c r="P384" s="14" t="s">
        <v>35</v>
      </c>
      <c r="Q384" s="14" t="s">
        <v>36</v>
      </c>
      <c r="R384" s="14"/>
      <c r="S384" t="str">
        <f>IF(E384="","",IFERROR(INDEX(tblProductos[STOCK_ACTUAL],MATCH(E384,tblProductos[ITEM],0)),""))</f>
        <v/>
      </c>
    </row>
    <row r="385" spans="1:19" x14ac:dyDescent="0.3">
      <c r="A385" s="40"/>
      <c r="B385" s="14" t="str">
        <f t="shared" si="25"/>
        <v/>
      </c>
      <c r="C385" s="14" t="str">
        <f>IF(D385="","",IFERROR(INDEX(tblClientes[ID],MATCH(D385,tblClientes[NOMBRE],0)),""))</f>
        <v/>
      </c>
      <c r="D385" s="14"/>
      <c r="E385" s="14"/>
      <c r="F385" s="14" t="str">
        <f>IF(E385="","",IFERROR(INDEX(tblProductos[CATEGORIA],MATCH(E385,tblProductos[ITEM],0)),""))</f>
        <v/>
      </c>
      <c r="G385" s="15"/>
      <c r="H385" s="16"/>
      <c r="I385" s="16" t="str">
        <f>IF(E385="","",IFERROR(INDEX(tblProductos[PRECIO_VENTA],MATCH(E385,tblProductos[ITEM],0)),""))</f>
        <v/>
      </c>
      <c r="J385" s="16" t="str">
        <f t="shared" si="26"/>
        <v/>
      </c>
      <c r="K385" s="16" t="str">
        <f t="shared" si="27"/>
        <v/>
      </c>
      <c r="L385" s="16" t="str">
        <f>IF(E385="","",IFERROR(INDEX(tblProductos[COSTO TOTAL],MATCH(E385,tblProductos[ITEM],0)),""))</f>
        <v/>
      </c>
      <c r="M385" s="16" t="str">
        <f t="shared" si="28"/>
        <v/>
      </c>
      <c r="N385" s="16" t="str">
        <f t="shared" si="29"/>
        <v/>
      </c>
      <c r="O385" s="14" t="s">
        <v>34</v>
      </c>
      <c r="P385" s="14" t="s">
        <v>35</v>
      </c>
      <c r="Q385" s="14" t="s">
        <v>36</v>
      </c>
      <c r="R385" s="14"/>
      <c r="S385" t="str">
        <f>IF(E385="","",IFERROR(INDEX(tblProductos[STOCK_ACTUAL],MATCH(E385,tblProductos[ITEM],0)),""))</f>
        <v/>
      </c>
    </row>
    <row r="386" spans="1:19" x14ac:dyDescent="0.3">
      <c r="A386" s="40"/>
      <c r="B386" s="14" t="str">
        <f t="shared" ref="B386:B449" si="30">IF(A386="","", "V"&amp;TEXT(A386,"yymmdd")&amp;"-"&amp;TEXT(ROW()-1,"0000"))</f>
        <v/>
      </c>
      <c r="C386" s="14" t="str">
        <f>IF(D386="","",IFERROR(INDEX(tblClientes[ID],MATCH(D386,tblClientes[NOMBRE],0)),""))</f>
        <v/>
      </c>
      <c r="D386" s="14"/>
      <c r="E386" s="14"/>
      <c r="F386" s="14" t="str">
        <f>IF(E386="","",IFERROR(INDEX(tblProductos[CATEGORIA],MATCH(E386,tblProductos[ITEM],0)),""))</f>
        <v/>
      </c>
      <c r="G386" s="15"/>
      <c r="H386" s="16"/>
      <c r="I386" s="16" t="str">
        <f>IF(E386="","",IFERROR(INDEX(tblProductos[PRECIO_VENTA],MATCH(E386,tblProductos[ITEM],0)),""))</f>
        <v/>
      </c>
      <c r="J386" s="16" t="str">
        <f t="shared" ref="J386:J449" si="31">IF(H386="",I386,H386)</f>
        <v/>
      </c>
      <c r="K386" s="16" t="str">
        <f t="shared" ref="K386:K449" si="32">IF(G386="","",G386*J386)</f>
        <v/>
      </c>
      <c r="L386" s="16" t="str">
        <f>IF(E386="","",IFERROR(INDEX(tblProductos[COSTO TOTAL],MATCH(E386,tblProductos[ITEM],0)),""))</f>
        <v/>
      </c>
      <c r="M386" s="16" t="str">
        <f t="shared" ref="M386:M449" si="33">IF(G386="","",G386*L386)</f>
        <v/>
      </c>
      <c r="N386" s="16" t="str">
        <f t="shared" ref="N386:N449" si="34">IF(K386="","",K386-M386)</f>
        <v/>
      </c>
      <c r="O386" s="14" t="s">
        <v>34</v>
      </c>
      <c r="P386" s="14" t="s">
        <v>35</v>
      </c>
      <c r="Q386" s="14" t="s">
        <v>36</v>
      </c>
      <c r="R386" s="14"/>
      <c r="S386" t="str">
        <f>IF(E386="","",IFERROR(INDEX(tblProductos[STOCK_ACTUAL],MATCH(E386,tblProductos[ITEM],0)),""))</f>
        <v/>
      </c>
    </row>
    <row r="387" spans="1:19" x14ac:dyDescent="0.3">
      <c r="A387" s="40"/>
      <c r="B387" s="14" t="str">
        <f t="shared" si="30"/>
        <v/>
      </c>
      <c r="C387" s="14" t="str">
        <f>IF(D387="","",IFERROR(INDEX(tblClientes[ID],MATCH(D387,tblClientes[NOMBRE],0)),""))</f>
        <v/>
      </c>
      <c r="D387" s="14"/>
      <c r="E387" s="14"/>
      <c r="F387" s="14" t="str">
        <f>IF(E387="","",IFERROR(INDEX(tblProductos[CATEGORIA],MATCH(E387,tblProductos[ITEM],0)),""))</f>
        <v/>
      </c>
      <c r="G387" s="15"/>
      <c r="H387" s="16"/>
      <c r="I387" s="16" t="str">
        <f>IF(E387="","",IFERROR(INDEX(tblProductos[PRECIO_VENTA],MATCH(E387,tblProductos[ITEM],0)),""))</f>
        <v/>
      </c>
      <c r="J387" s="16" t="str">
        <f t="shared" si="31"/>
        <v/>
      </c>
      <c r="K387" s="16" t="str">
        <f t="shared" si="32"/>
        <v/>
      </c>
      <c r="L387" s="16" t="str">
        <f>IF(E387="","",IFERROR(INDEX(tblProductos[COSTO TOTAL],MATCH(E387,tblProductos[ITEM],0)),""))</f>
        <v/>
      </c>
      <c r="M387" s="16" t="str">
        <f t="shared" si="33"/>
        <v/>
      </c>
      <c r="N387" s="16" t="str">
        <f t="shared" si="34"/>
        <v/>
      </c>
      <c r="O387" s="14" t="s">
        <v>34</v>
      </c>
      <c r="P387" s="14" t="s">
        <v>35</v>
      </c>
      <c r="Q387" s="14" t="s">
        <v>36</v>
      </c>
      <c r="R387" s="14"/>
      <c r="S387" t="str">
        <f>IF(E387="","",IFERROR(INDEX(tblProductos[STOCK_ACTUAL],MATCH(E387,tblProductos[ITEM],0)),""))</f>
        <v/>
      </c>
    </row>
    <row r="388" spans="1:19" x14ac:dyDescent="0.3">
      <c r="A388" s="40"/>
      <c r="B388" s="14" t="str">
        <f t="shared" si="30"/>
        <v/>
      </c>
      <c r="C388" s="14" t="str">
        <f>IF(D388="","",IFERROR(INDEX(tblClientes[ID],MATCH(D388,tblClientes[NOMBRE],0)),""))</f>
        <v/>
      </c>
      <c r="D388" s="14"/>
      <c r="E388" s="14"/>
      <c r="F388" s="14" t="str">
        <f>IF(E388="","",IFERROR(INDEX(tblProductos[CATEGORIA],MATCH(E388,tblProductos[ITEM],0)),""))</f>
        <v/>
      </c>
      <c r="G388" s="15"/>
      <c r="H388" s="16"/>
      <c r="I388" s="16" t="str">
        <f>IF(E388="","",IFERROR(INDEX(tblProductos[PRECIO_VENTA],MATCH(E388,tblProductos[ITEM],0)),""))</f>
        <v/>
      </c>
      <c r="J388" s="16" t="str">
        <f t="shared" si="31"/>
        <v/>
      </c>
      <c r="K388" s="16" t="str">
        <f t="shared" si="32"/>
        <v/>
      </c>
      <c r="L388" s="16" t="str">
        <f>IF(E388="","",IFERROR(INDEX(tblProductos[COSTO TOTAL],MATCH(E388,tblProductos[ITEM],0)),""))</f>
        <v/>
      </c>
      <c r="M388" s="16" t="str">
        <f t="shared" si="33"/>
        <v/>
      </c>
      <c r="N388" s="16" t="str">
        <f t="shared" si="34"/>
        <v/>
      </c>
      <c r="O388" s="14" t="s">
        <v>34</v>
      </c>
      <c r="P388" s="14" t="s">
        <v>35</v>
      </c>
      <c r="Q388" s="14" t="s">
        <v>36</v>
      </c>
      <c r="R388" s="14"/>
      <c r="S388" t="str">
        <f>IF(E388="","",IFERROR(INDEX(tblProductos[STOCK_ACTUAL],MATCH(E388,tblProductos[ITEM],0)),""))</f>
        <v/>
      </c>
    </row>
    <row r="389" spans="1:19" x14ac:dyDescent="0.3">
      <c r="A389" s="40"/>
      <c r="B389" s="14" t="str">
        <f t="shared" si="30"/>
        <v/>
      </c>
      <c r="C389" s="14" t="str">
        <f>IF(D389="","",IFERROR(INDEX(tblClientes[ID],MATCH(D389,tblClientes[NOMBRE],0)),""))</f>
        <v/>
      </c>
      <c r="D389" s="14"/>
      <c r="E389" s="14"/>
      <c r="F389" s="14" t="str">
        <f>IF(E389="","",IFERROR(INDEX(tblProductos[CATEGORIA],MATCH(E389,tblProductos[ITEM],0)),""))</f>
        <v/>
      </c>
      <c r="G389" s="15"/>
      <c r="H389" s="16"/>
      <c r="I389" s="16" t="str">
        <f>IF(E389="","",IFERROR(INDEX(tblProductos[PRECIO_VENTA],MATCH(E389,tblProductos[ITEM],0)),""))</f>
        <v/>
      </c>
      <c r="J389" s="16" t="str">
        <f t="shared" si="31"/>
        <v/>
      </c>
      <c r="K389" s="16" t="str">
        <f t="shared" si="32"/>
        <v/>
      </c>
      <c r="L389" s="16" t="str">
        <f>IF(E389="","",IFERROR(INDEX(tblProductos[COSTO TOTAL],MATCH(E389,tblProductos[ITEM],0)),""))</f>
        <v/>
      </c>
      <c r="M389" s="16" t="str">
        <f t="shared" si="33"/>
        <v/>
      </c>
      <c r="N389" s="16" t="str">
        <f t="shared" si="34"/>
        <v/>
      </c>
      <c r="O389" s="14" t="s">
        <v>34</v>
      </c>
      <c r="P389" s="14" t="s">
        <v>35</v>
      </c>
      <c r="Q389" s="14" t="s">
        <v>36</v>
      </c>
      <c r="R389" s="14"/>
      <c r="S389" t="str">
        <f>IF(E389="","",IFERROR(INDEX(tblProductos[STOCK_ACTUAL],MATCH(E389,tblProductos[ITEM],0)),""))</f>
        <v/>
      </c>
    </row>
    <row r="390" spans="1:19" x14ac:dyDescent="0.3">
      <c r="A390" s="40"/>
      <c r="B390" s="14" t="str">
        <f t="shared" si="30"/>
        <v/>
      </c>
      <c r="C390" s="14" t="str">
        <f>IF(D390="","",IFERROR(INDEX(tblClientes[ID],MATCH(D390,tblClientes[NOMBRE],0)),""))</f>
        <v/>
      </c>
      <c r="D390" s="14"/>
      <c r="E390" s="14"/>
      <c r="F390" s="14" t="str">
        <f>IF(E390="","",IFERROR(INDEX(tblProductos[CATEGORIA],MATCH(E390,tblProductos[ITEM],0)),""))</f>
        <v/>
      </c>
      <c r="G390" s="15"/>
      <c r="H390" s="16"/>
      <c r="I390" s="16" t="str">
        <f>IF(E390="","",IFERROR(INDEX(tblProductos[PRECIO_VENTA],MATCH(E390,tblProductos[ITEM],0)),""))</f>
        <v/>
      </c>
      <c r="J390" s="16" t="str">
        <f t="shared" si="31"/>
        <v/>
      </c>
      <c r="K390" s="16" t="str">
        <f t="shared" si="32"/>
        <v/>
      </c>
      <c r="L390" s="16" t="str">
        <f>IF(E390="","",IFERROR(INDEX(tblProductos[COSTO TOTAL],MATCH(E390,tblProductos[ITEM],0)),""))</f>
        <v/>
      </c>
      <c r="M390" s="16" t="str">
        <f t="shared" si="33"/>
        <v/>
      </c>
      <c r="N390" s="16" t="str">
        <f t="shared" si="34"/>
        <v/>
      </c>
      <c r="O390" s="14" t="s">
        <v>34</v>
      </c>
      <c r="P390" s="14" t="s">
        <v>35</v>
      </c>
      <c r="Q390" s="14" t="s">
        <v>36</v>
      </c>
      <c r="R390" s="14"/>
      <c r="S390" t="str">
        <f>IF(E390="","",IFERROR(INDEX(tblProductos[STOCK_ACTUAL],MATCH(E390,tblProductos[ITEM],0)),""))</f>
        <v/>
      </c>
    </row>
    <row r="391" spans="1:19" x14ac:dyDescent="0.3">
      <c r="A391" s="40"/>
      <c r="B391" s="14" t="str">
        <f t="shared" si="30"/>
        <v/>
      </c>
      <c r="C391" s="14" t="str">
        <f>IF(D391="","",IFERROR(INDEX(tblClientes[ID],MATCH(D391,tblClientes[NOMBRE],0)),""))</f>
        <v/>
      </c>
      <c r="D391" s="14"/>
      <c r="E391" s="14"/>
      <c r="F391" s="14" t="str">
        <f>IF(E391="","",IFERROR(INDEX(tblProductos[CATEGORIA],MATCH(E391,tblProductos[ITEM],0)),""))</f>
        <v/>
      </c>
      <c r="G391" s="15"/>
      <c r="H391" s="16"/>
      <c r="I391" s="16" t="str">
        <f>IF(E391="","",IFERROR(INDEX(tblProductos[PRECIO_VENTA],MATCH(E391,tblProductos[ITEM],0)),""))</f>
        <v/>
      </c>
      <c r="J391" s="16" t="str">
        <f t="shared" si="31"/>
        <v/>
      </c>
      <c r="K391" s="16" t="str">
        <f t="shared" si="32"/>
        <v/>
      </c>
      <c r="L391" s="16" t="str">
        <f>IF(E391="","",IFERROR(INDEX(tblProductos[COSTO TOTAL],MATCH(E391,tblProductos[ITEM],0)),""))</f>
        <v/>
      </c>
      <c r="M391" s="16" t="str">
        <f t="shared" si="33"/>
        <v/>
      </c>
      <c r="N391" s="16" t="str">
        <f t="shared" si="34"/>
        <v/>
      </c>
      <c r="O391" s="14" t="s">
        <v>34</v>
      </c>
      <c r="P391" s="14" t="s">
        <v>35</v>
      </c>
      <c r="Q391" s="14" t="s">
        <v>36</v>
      </c>
      <c r="R391" s="14"/>
      <c r="S391" t="str">
        <f>IF(E391="","",IFERROR(INDEX(tblProductos[STOCK_ACTUAL],MATCH(E391,tblProductos[ITEM],0)),""))</f>
        <v/>
      </c>
    </row>
    <row r="392" spans="1:19" x14ac:dyDescent="0.3">
      <c r="A392" s="40"/>
      <c r="B392" s="14" t="str">
        <f t="shared" si="30"/>
        <v/>
      </c>
      <c r="C392" s="14" t="str">
        <f>IF(D392="","",IFERROR(INDEX(tblClientes[ID],MATCH(D392,tblClientes[NOMBRE],0)),""))</f>
        <v/>
      </c>
      <c r="D392" s="14"/>
      <c r="E392" s="14"/>
      <c r="F392" s="14" t="str">
        <f>IF(E392="","",IFERROR(INDEX(tblProductos[CATEGORIA],MATCH(E392,tblProductos[ITEM],0)),""))</f>
        <v/>
      </c>
      <c r="G392" s="15"/>
      <c r="H392" s="16"/>
      <c r="I392" s="16" t="str">
        <f>IF(E392="","",IFERROR(INDEX(tblProductos[PRECIO_VENTA],MATCH(E392,tblProductos[ITEM],0)),""))</f>
        <v/>
      </c>
      <c r="J392" s="16" t="str">
        <f t="shared" si="31"/>
        <v/>
      </c>
      <c r="K392" s="16" t="str">
        <f t="shared" si="32"/>
        <v/>
      </c>
      <c r="L392" s="16" t="str">
        <f>IF(E392="","",IFERROR(INDEX(tblProductos[COSTO TOTAL],MATCH(E392,tblProductos[ITEM],0)),""))</f>
        <v/>
      </c>
      <c r="M392" s="16" t="str">
        <f t="shared" si="33"/>
        <v/>
      </c>
      <c r="N392" s="16" t="str">
        <f t="shared" si="34"/>
        <v/>
      </c>
      <c r="O392" s="14" t="s">
        <v>34</v>
      </c>
      <c r="P392" s="14" t="s">
        <v>35</v>
      </c>
      <c r="Q392" s="14" t="s">
        <v>36</v>
      </c>
      <c r="R392" s="14"/>
      <c r="S392" t="str">
        <f>IF(E392="","",IFERROR(INDEX(tblProductos[STOCK_ACTUAL],MATCH(E392,tblProductos[ITEM],0)),""))</f>
        <v/>
      </c>
    </row>
    <row r="393" spans="1:19" x14ac:dyDescent="0.3">
      <c r="A393" s="40"/>
      <c r="B393" s="14" t="str">
        <f t="shared" si="30"/>
        <v/>
      </c>
      <c r="C393" s="14" t="str">
        <f>IF(D393="","",IFERROR(INDEX(tblClientes[ID],MATCH(D393,tblClientes[NOMBRE],0)),""))</f>
        <v/>
      </c>
      <c r="D393" s="14"/>
      <c r="E393" s="14"/>
      <c r="F393" s="14" t="str">
        <f>IF(E393="","",IFERROR(INDEX(tblProductos[CATEGORIA],MATCH(E393,tblProductos[ITEM],0)),""))</f>
        <v/>
      </c>
      <c r="G393" s="15"/>
      <c r="H393" s="16"/>
      <c r="I393" s="16" t="str">
        <f>IF(E393="","",IFERROR(INDEX(tblProductos[PRECIO_VENTA],MATCH(E393,tblProductos[ITEM],0)),""))</f>
        <v/>
      </c>
      <c r="J393" s="16" t="str">
        <f t="shared" si="31"/>
        <v/>
      </c>
      <c r="K393" s="16" t="str">
        <f t="shared" si="32"/>
        <v/>
      </c>
      <c r="L393" s="16" t="str">
        <f>IF(E393="","",IFERROR(INDEX(tblProductos[COSTO TOTAL],MATCH(E393,tblProductos[ITEM],0)),""))</f>
        <v/>
      </c>
      <c r="M393" s="16" t="str">
        <f t="shared" si="33"/>
        <v/>
      </c>
      <c r="N393" s="16" t="str">
        <f t="shared" si="34"/>
        <v/>
      </c>
      <c r="O393" s="14" t="s">
        <v>34</v>
      </c>
      <c r="P393" s="14" t="s">
        <v>35</v>
      </c>
      <c r="Q393" s="14" t="s">
        <v>36</v>
      </c>
      <c r="R393" s="14"/>
      <c r="S393" t="str">
        <f>IF(E393="","",IFERROR(INDEX(tblProductos[STOCK_ACTUAL],MATCH(E393,tblProductos[ITEM],0)),""))</f>
        <v/>
      </c>
    </row>
    <row r="394" spans="1:19" x14ac:dyDescent="0.3">
      <c r="A394" s="40"/>
      <c r="B394" s="14" t="str">
        <f t="shared" si="30"/>
        <v/>
      </c>
      <c r="C394" s="14" t="str">
        <f>IF(D394="","",IFERROR(INDEX(tblClientes[ID],MATCH(D394,tblClientes[NOMBRE],0)),""))</f>
        <v/>
      </c>
      <c r="D394" s="14"/>
      <c r="E394" s="14"/>
      <c r="F394" s="14" t="str">
        <f>IF(E394="","",IFERROR(INDEX(tblProductos[CATEGORIA],MATCH(E394,tblProductos[ITEM],0)),""))</f>
        <v/>
      </c>
      <c r="G394" s="15"/>
      <c r="H394" s="16"/>
      <c r="I394" s="16" t="str">
        <f>IF(E394="","",IFERROR(INDEX(tblProductos[PRECIO_VENTA],MATCH(E394,tblProductos[ITEM],0)),""))</f>
        <v/>
      </c>
      <c r="J394" s="16" t="str">
        <f t="shared" si="31"/>
        <v/>
      </c>
      <c r="K394" s="16" t="str">
        <f t="shared" si="32"/>
        <v/>
      </c>
      <c r="L394" s="16" t="str">
        <f>IF(E394="","",IFERROR(INDEX(tblProductos[COSTO TOTAL],MATCH(E394,tblProductos[ITEM],0)),""))</f>
        <v/>
      </c>
      <c r="M394" s="16" t="str">
        <f t="shared" si="33"/>
        <v/>
      </c>
      <c r="N394" s="16" t="str">
        <f t="shared" si="34"/>
        <v/>
      </c>
      <c r="O394" s="14" t="s">
        <v>34</v>
      </c>
      <c r="P394" s="14" t="s">
        <v>35</v>
      </c>
      <c r="Q394" s="14" t="s">
        <v>36</v>
      </c>
      <c r="R394" s="14"/>
      <c r="S394" t="str">
        <f>IF(E394="","",IFERROR(INDEX(tblProductos[STOCK_ACTUAL],MATCH(E394,tblProductos[ITEM],0)),""))</f>
        <v/>
      </c>
    </row>
    <row r="395" spans="1:19" x14ac:dyDescent="0.3">
      <c r="A395" s="40"/>
      <c r="B395" s="14" t="str">
        <f t="shared" si="30"/>
        <v/>
      </c>
      <c r="C395" s="14" t="str">
        <f>IF(D395="","",IFERROR(INDEX(tblClientes[ID],MATCH(D395,tblClientes[NOMBRE],0)),""))</f>
        <v/>
      </c>
      <c r="D395" s="14"/>
      <c r="E395" s="14"/>
      <c r="F395" s="14" t="str">
        <f>IF(E395="","",IFERROR(INDEX(tblProductos[CATEGORIA],MATCH(E395,tblProductos[ITEM],0)),""))</f>
        <v/>
      </c>
      <c r="G395" s="15"/>
      <c r="H395" s="16"/>
      <c r="I395" s="16" t="str">
        <f>IF(E395="","",IFERROR(INDEX(tblProductos[PRECIO_VENTA],MATCH(E395,tblProductos[ITEM],0)),""))</f>
        <v/>
      </c>
      <c r="J395" s="16" t="str">
        <f t="shared" si="31"/>
        <v/>
      </c>
      <c r="K395" s="16" t="str">
        <f t="shared" si="32"/>
        <v/>
      </c>
      <c r="L395" s="16" t="str">
        <f>IF(E395="","",IFERROR(INDEX(tblProductos[COSTO TOTAL],MATCH(E395,tblProductos[ITEM],0)),""))</f>
        <v/>
      </c>
      <c r="M395" s="16" t="str">
        <f t="shared" si="33"/>
        <v/>
      </c>
      <c r="N395" s="16" t="str">
        <f t="shared" si="34"/>
        <v/>
      </c>
      <c r="O395" s="14" t="s">
        <v>34</v>
      </c>
      <c r="P395" s="14" t="s">
        <v>35</v>
      </c>
      <c r="Q395" s="14" t="s">
        <v>36</v>
      </c>
      <c r="R395" s="14"/>
      <c r="S395" t="str">
        <f>IF(E395="","",IFERROR(INDEX(tblProductos[STOCK_ACTUAL],MATCH(E395,tblProductos[ITEM],0)),""))</f>
        <v/>
      </c>
    </row>
    <row r="396" spans="1:19" x14ac:dyDescent="0.3">
      <c r="A396" s="40"/>
      <c r="B396" s="14" t="str">
        <f t="shared" si="30"/>
        <v/>
      </c>
      <c r="C396" s="14" t="str">
        <f>IF(D396="","",IFERROR(INDEX(tblClientes[ID],MATCH(D396,tblClientes[NOMBRE],0)),""))</f>
        <v/>
      </c>
      <c r="D396" s="14"/>
      <c r="E396" s="14"/>
      <c r="F396" s="14" t="str">
        <f>IF(E396="","",IFERROR(INDEX(tblProductos[CATEGORIA],MATCH(E396,tblProductos[ITEM],0)),""))</f>
        <v/>
      </c>
      <c r="G396" s="15"/>
      <c r="H396" s="16"/>
      <c r="I396" s="16" t="str">
        <f>IF(E396="","",IFERROR(INDEX(tblProductos[PRECIO_VENTA],MATCH(E396,tblProductos[ITEM],0)),""))</f>
        <v/>
      </c>
      <c r="J396" s="16" t="str">
        <f t="shared" si="31"/>
        <v/>
      </c>
      <c r="K396" s="16" t="str">
        <f t="shared" si="32"/>
        <v/>
      </c>
      <c r="L396" s="16" t="str">
        <f>IF(E396="","",IFERROR(INDEX(tblProductos[COSTO TOTAL],MATCH(E396,tblProductos[ITEM],0)),""))</f>
        <v/>
      </c>
      <c r="M396" s="16" t="str">
        <f t="shared" si="33"/>
        <v/>
      </c>
      <c r="N396" s="16" t="str">
        <f t="shared" si="34"/>
        <v/>
      </c>
      <c r="O396" s="14" t="s">
        <v>34</v>
      </c>
      <c r="P396" s="14" t="s">
        <v>35</v>
      </c>
      <c r="Q396" s="14" t="s">
        <v>36</v>
      </c>
      <c r="R396" s="14"/>
      <c r="S396" t="str">
        <f>IF(E396="","",IFERROR(INDEX(tblProductos[STOCK_ACTUAL],MATCH(E396,tblProductos[ITEM],0)),""))</f>
        <v/>
      </c>
    </row>
    <row r="397" spans="1:19" x14ac:dyDescent="0.3">
      <c r="A397" s="40"/>
      <c r="B397" s="14" t="str">
        <f t="shared" si="30"/>
        <v/>
      </c>
      <c r="C397" s="14" t="str">
        <f>IF(D397="","",IFERROR(INDEX(tblClientes[ID],MATCH(D397,tblClientes[NOMBRE],0)),""))</f>
        <v/>
      </c>
      <c r="D397" s="14"/>
      <c r="E397" s="14"/>
      <c r="F397" s="14" t="str">
        <f>IF(E397="","",IFERROR(INDEX(tblProductos[CATEGORIA],MATCH(E397,tblProductos[ITEM],0)),""))</f>
        <v/>
      </c>
      <c r="G397" s="15"/>
      <c r="H397" s="16"/>
      <c r="I397" s="16" t="str">
        <f>IF(E397="","",IFERROR(INDEX(tblProductos[PRECIO_VENTA],MATCH(E397,tblProductos[ITEM],0)),""))</f>
        <v/>
      </c>
      <c r="J397" s="16" t="str">
        <f t="shared" si="31"/>
        <v/>
      </c>
      <c r="K397" s="16" t="str">
        <f t="shared" si="32"/>
        <v/>
      </c>
      <c r="L397" s="16" t="str">
        <f>IF(E397="","",IFERROR(INDEX(tblProductos[COSTO TOTAL],MATCH(E397,tblProductos[ITEM],0)),""))</f>
        <v/>
      </c>
      <c r="M397" s="16" t="str">
        <f t="shared" si="33"/>
        <v/>
      </c>
      <c r="N397" s="16" t="str">
        <f t="shared" si="34"/>
        <v/>
      </c>
      <c r="O397" s="14" t="s">
        <v>34</v>
      </c>
      <c r="P397" s="14" t="s">
        <v>35</v>
      </c>
      <c r="Q397" s="14" t="s">
        <v>36</v>
      </c>
      <c r="R397" s="14"/>
      <c r="S397" t="str">
        <f>IF(E397="","",IFERROR(INDEX(tblProductos[STOCK_ACTUAL],MATCH(E397,tblProductos[ITEM],0)),""))</f>
        <v/>
      </c>
    </row>
    <row r="398" spans="1:19" x14ac:dyDescent="0.3">
      <c r="A398" s="40"/>
      <c r="B398" s="14" t="str">
        <f t="shared" si="30"/>
        <v/>
      </c>
      <c r="C398" s="14" t="str">
        <f>IF(D398="","",IFERROR(INDEX(tblClientes[ID],MATCH(D398,tblClientes[NOMBRE],0)),""))</f>
        <v/>
      </c>
      <c r="D398" s="14"/>
      <c r="E398" s="14"/>
      <c r="F398" s="14" t="str">
        <f>IF(E398="","",IFERROR(INDEX(tblProductos[CATEGORIA],MATCH(E398,tblProductos[ITEM],0)),""))</f>
        <v/>
      </c>
      <c r="G398" s="15"/>
      <c r="H398" s="16"/>
      <c r="I398" s="16" t="str">
        <f>IF(E398="","",IFERROR(INDEX(tblProductos[PRECIO_VENTA],MATCH(E398,tblProductos[ITEM],0)),""))</f>
        <v/>
      </c>
      <c r="J398" s="16" t="str">
        <f t="shared" si="31"/>
        <v/>
      </c>
      <c r="K398" s="16" t="str">
        <f t="shared" si="32"/>
        <v/>
      </c>
      <c r="L398" s="16" t="str">
        <f>IF(E398="","",IFERROR(INDEX(tblProductos[COSTO TOTAL],MATCH(E398,tblProductos[ITEM],0)),""))</f>
        <v/>
      </c>
      <c r="M398" s="16" t="str">
        <f t="shared" si="33"/>
        <v/>
      </c>
      <c r="N398" s="16" t="str">
        <f t="shared" si="34"/>
        <v/>
      </c>
      <c r="O398" s="14" t="s">
        <v>34</v>
      </c>
      <c r="P398" s="14" t="s">
        <v>35</v>
      </c>
      <c r="Q398" s="14" t="s">
        <v>36</v>
      </c>
      <c r="R398" s="14"/>
      <c r="S398" t="str">
        <f>IF(E398="","",IFERROR(INDEX(tblProductos[STOCK_ACTUAL],MATCH(E398,tblProductos[ITEM],0)),""))</f>
        <v/>
      </c>
    </row>
    <row r="399" spans="1:19" x14ac:dyDescent="0.3">
      <c r="A399" s="40"/>
      <c r="B399" s="14" t="str">
        <f t="shared" si="30"/>
        <v/>
      </c>
      <c r="C399" s="14" t="str">
        <f>IF(D399="","",IFERROR(INDEX(tblClientes[ID],MATCH(D399,tblClientes[NOMBRE],0)),""))</f>
        <v/>
      </c>
      <c r="D399" s="14"/>
      <c r="E399" s="14"/>
      <c r="F399" s="14" t="str">
        <f>IF(E399="","",IFERROR(INDEX(tblProductos[CATEGORIA],MATCH(E399,tblProductos[ITEM],0)),""))</f>
        <v/>
      </c>
      <c r="G399" s="15"/>
      <c r="H399" s="16"/>
      <c r="I399" s="16" t="str">
        <f>IF(E399="","",IFERROR(INDEX(tblProductos[PRECIO_VENTA],MATCH(E399,tblProductos[ITEM],0)),""))</f>
        <v/>
      </c>
      <c r="J399" s="16" t="str">
        <f t="shared" si="31"/>
        <v/>
      </c>
      <c r="K399" s="16" t="str">
        <f t="shared" si="32"/>
        <v/>
      </c>
      <c r="L399" s="16" t="str">
        <f>IF(E399="","",IFERROR(INDEX(tblProductos[COSTO TOTAL],MATCH(E399,tblProductos[ITEM],0)),""))</f>
        <v/>
      </c>
      <c r="M399" s="16" t="str">
        <f t="shared" si="33"/>
        <v/>
      </c>
      <c r="N399" s="16" t="str">
        <f t="shared" si="34"/>
        <v/>
      </c>
      <c r="O399" s="14" t="s">
        <v>34</v>
      </c>
      <c r="P399" s="14" t="s">
        <v>35</v>
      </c>
      <c r="Q399" s="14" t="s">
        <v>36</v>
      </c>
      <c r="R399" s="14"/>
      <c r="S399" t="str">
        <f>IF(E399="","",IFERROR(INDEX(tblProductos[STOCK_ACTUAL],MATCH(E399,tblProductos[ITEM],0)),""))</f>
        <v/>
      </c>
    </row>
    <row r="400" spans="1:19" x14ac:dyDescent="0.3">
      <c r="A400" s="40"/>
      <c r="B400" s="14" t="str">
        <f t="shared" si="30"/>
        <v/>
      </c>
      <c r="C400" s="14" t="str">
        <f>IF(D400="","",IFERROR(INDEX(tblClientes[ID],MATCH(D400,tblClientes[NOMBRE],0)),""))</f>
        <v/>
      </c>
      <c r="D400" s="14"/>
      <c r="E400" s="14"/>
      <c r="F400" s="14" t="str">
        <f>IF(E400="","",IFERROR(INDEX(tblProductos[CATEGORIA],MATCH(E400,tblProductos[ITEM],0)),""))</f>
        <v/>
      </c>
      <c r="G400" s="15"/>
      <c r="H400" s="16"/>
      <c r="I400" s="16" t="str">
        <f>IF(E400="","",IFERROR(INDEX(tblProductos[PRECIO_VENTA],MATCH(E400,tblProductos[ITEM],0)),""))</f>
        <v/>
      </c>
      <c r="J400" s="16" t="str">
        <f t="shared" si="31"/>
        <v/>
      </c>
      <c r="K400" s="16" t="str">
        <f t="shared" si="32"/>
        <v/>
      </c>
      <c r="L400" s="16" t="str">
        <f>IF(E400="","",IFERROR(INDEX(tblProductos[COSTO TOTAL],MATCH(E400,tblProductos[ITEM],0)),""))</f>
        <v/>
      </c>
      <c r="M400" s="16" t="str">
        <f t="shared" si="33"/>
        <v/>
      </c>
      <c r="N400" s="16" t="str">
        <f t="shared" si="34"/>
        <v/>
      </c>
      <c r="O400" s="14" t="s">
        <v>34</v>
      </c>
      <c r="P400" s="14" t="s">
        <v>35</v>
      </c>
      <c r="Q400" s="14" t="s">
        <v>36</v>
      </c>
      <c r="R400" s="14"/>
      <c r="S400" t="str">
        <f>IF(E400="","",IFERROR(INDEX(tblProductos[STOCK_ACTUAL],MATCH(E400,tblProductos[ITEM],0)),""))</f>
        <v/>
      </c>
    </row>
    <row r="401" spans="1:19" x14ac:dyDescent="0.3">
      <c r="A401" s="40"/>
      <c r="B401" s="14" t="str">
        <f t="shared" si="30"/>
        <v/>
      </c>
      <c r="C401" s="14" t="str">
        <f>IF(D401="","",IFERROR(INDEX(tblClientes[ID],MATCH(D401,tblClientes[NOMBRE],0)),""))</f>
        <v/>
      </c>
      <c r="D401" s="14"/>
      <c r="E401" s="14"/>
      <c r="F401" s="14" t="str">
        <f>IF(E401="","",IFERROR(INDEX(tblProductos[CATEGORIA],MATCH(E401,tblProductos[ITEM],0)),""))</f>
        <v/>
      </c>
      <c r="G401" s="15"/>
      <c r="H401" s="16"/>
      <c r="I401" s="16" t="str">
        <f>IF(E401="","",IFERROR(INDEX(tblProductos[PRECIO_VENTA],MATCH(E401,tblProductos[ITEM],0)),""))</f>
        <v/>
      </c>
      <c r="J401" s="16" t="str">
        <f t="shared" si="31"/>
        <v/>
      </c>
      <c r="K401" s="16" t="str">
        <f t="shared" si="32"/>
        <v/>
      </c>
      <c r="L401" s="16" t="str">
        <f>IF(E401="","",IFERROR(INDEX(tblProductos[COSTO TOTAL],MATCH(E401,tblProductos[ITEM],0)),""))</f>
        <v/>
      </c>
      <c r="M401" s="16" t="str">
        <f t="shared" si="33"/>
        <v/>
      </c>
      <c r="N401" s="16" t="str">
        <f t="shared" si="34"/>
        <v/>
      </c>
      <c r="O401" s="14" t="s">
        <v>34</v>
      </c>
      <c r="P401" s="14" t="s">
        <v>35</v>
      </c>
      <c r="Q401" s="14" t="s">
        <v>36</v>
      </c>
      <c r="R401" s="14"/>
      <c r="S401" t="str">
        <f>IF(E401="","",IFERROR(INDEX(tblProductos[STOCK_ACTUAL],MATCH(E401,tblProductos[ITEM],0)),""))</f>
        <v/>
      </c>
    </row>
    <row r="402" spans="1:19" x14ac:dyDescent="0.3">
      <c r="A402" s="40"/>
      <c r="B402" s="14" t="str">
        <f t="shared" si="30"/>
        <v/>
      </c>
      <c r="C402" s="14" t="str">
        <f>IF(D402="","",IFERROR(INDEX(tblClientes[ID],MATCH(D402,tblClientes[NOMBRE],0)),""))</f>
        <v/>
      </c>
      <c r="D402" s="14"/>
      <c r="E402" s="14"/>
      <c r="F402" s="14" t="str">
        <f>IF(E402="","",IFERROR(INDEX(tblProductos[CATEGORIA],MATCH(E402,tblProductos[ITEM],0)),""))</f>
        <v/>
      </c>
      <c r="G402" s="15"/>
      <c r="H402" s="16"/>
      <c r="I402" s="16" t="str">
        <f>IF(E402="","",IFERROR(INDEX(tblProductos[PRECIO_VENTA],MATCH(E402,tblProductos[ITEM],0)),""))</f>
        <v/>
      </c>
      <c r="J402" s="16" t="str">
        <f t="shared" si="31"/>
        <v/>
      </c>
      <c r="K402" s="16" t="str">
        <f t="shared" si="32"/>
        <v/>
      </c>
      <c r="L402" s="16" t="str">
        <f>IF(E402="","",IFERROR(INDEX(tblProductos[COSTO TOTAL],MATCH(E402,tblProductos[ITEM],0)),""))</f>
        <v/>
      </c>
      <c r="M402" s="16" t="str">
        <f t="shared" si="33"/>
        <v/>
      </c>
      <c r="N402" s="16" t="str">
        <f t="shared" si="34"/>
        <v/>
      </c>
      <c r="O402" s="14" t="s">
        <v>34</v>
      </c>
      <c r="P402" s="14" t="s">
        <v>35</v>
      </c>
      <c r="Q402" s="14" t="s">
        <v>36</v>
      </c>
      <c r="R402" s="14"/>
      <c r="S402" t="str">
        <f>IF(E402="","",IFERROR(INDEX(tblProductos[STOCK_ACTUAL],MATCH(E402,tblProductos[ITEM],0)),""))</f>
        <v/>
      </c>
    </row>
    <row r="403" spans="1:19" x14ac:dyDescent="0.3">
      <c r="A403" s="40"/>
      <c r="B403" s="14" t="str">
        <f t="shared" si="30"/>
        <v/>
      </c>
      <c r="C403" s="14" t="str">
        <f>IF(D403="","",IFERROR(INDEX(tblClientes[ID],MATCH(D403,tblClientes[NOMBRE],0)),""))</f>
        <v/>
      </c>
      <c r="D403" s="14"/>
      <c r="E403" s="14"/>
      <c r="F403" s="14" t="str">
        <f>IF(E403="","",IFERROR(INDEX(tblProductos[CATEGORIA],MATCH(E403,tblProductos[ITEM],0)),""))</f>
        <v/>
      </c>
      <c r="G403" s="15"/>
      <c r="H403" s="16"/>
      <c r="I403" s="16" t="str">
        <f>IF(E403="","",IFERROR(INDEX(tblProductos[PRECIO_VENTA],MATCH(E403,tblProductos[ITEM],0)),""))</f>
        <v/>
      </c>
      <c r="J403" s="16" t="str">
        <f t="shared" si="31"/>
        <v/>
      </c>
      <c r="K403" s="16" t="str">
        <f t="shared" si="32"/>
        <v/>
      </c>
      <c r="L403" s="16" t="str">
        <f>IF(E403="","",IFERROR(INDEX(tblProductos[COSTO TOTAL],MATCH(E403,tblProductos[ITEM],0)),""))</f>
        <v/>
      </c>
      <c r="M403" s="16" t="str">
        <f t="shared" si="33"/>
        <v/>
      </c>
      <c r="N403" s="16" t="str">
        <f t="shared" si="34"/>
        <v/>
      </c>
      <c r="O403" s="14" t="s">
        <v>34</v>
      </c>
      <c r="P403" s="14" t="s">
        <v>35</v>
      </c>
      <c r="Q403" s="14" t="s">
        <v>36</v>
      </c>
      <c r="R403" s="14"/>
      <c r="S403" t="str">
        <f>IF(E403="","",IFERROR(INDEX(tblProductos[STOCK_ACTUAL],MATCH(E403,tblProductos[ITEM],0)),""))</f>
        <v/>
      </c>
    </row>
    <row r="404" spans="1:19" x14ac:dyDescent="0.3">
      <c r="A404" s="40"/>
      <c r="B404" s="14" t="str">
        <f t="shared" si="30"/>
        <v/>
      </c>
      <c r="C404" s="14" t="str">
        <f>IF(D404="","",IFERROR(INDEX(tblClientes[ID],MATCH(D404,tblClientes[NOMBRE],0)),""))</f>
        <v/>
      </c>
      <c r="D404" s="14"/>
      <c r="E404" s="14"/>
      <c r="F404" s="14" t="str">
        <f>IF(E404="","",IFERROR(INDEX(tblProductos[CATEGORIA],MATCH(E404,tblProductos[ITEM],0)),""))</f>
        <v/>
      </c>
      <c r="G404" s="15"/>
      <c r="H404" s="16"/>
      <c r="I404" s="16" t="str">
        <f>IF(E404="","",IFERROR(INDEX(tblProductos[PRECIO_VENTA],MATCH(E404,tblProductos[ITEM],0)),""))</f>
        <v/>
      </c>
      <c r="J404" s="16" t="str">
        <f t="shared" si="31"/>
        <v/>
      </c>
      <c r="K404" s="16" t="str">
        <f t="shared" si="32"/>
        <v/>
      </c>
      <c r="L404" s="16" t="str">
        <f>IF(E404="","",IFERROR(INDEX(tblProductos[COSTO TOTAL],MATCH(E404,tblProductos[ITEM],0)),""))</f>
        <v/>
      </c>
      <c r="M404" s="16" t="str">
        <f t="shared" si="33"/>
        <v/>
      </c>
      <c r="N404" s="16" t="str">
        <f t="shared" si="34"/>
        <v/>
      </c>
      <c r="O404" s="14" t="s">
        <v>34</v>
      </c>
      <c r="P404" s="14" t="s">
        <v>35</v>
      </c>
      <c r="Q404" s="14" t="s">
        <v>36</v>
      </c>
      <c r="R404" s="14"/>
      <c r="S404" t="str">
        <f>IF(E404="","",IFERROR(INDEX(tblProductos[STOCK_ACTUAL],MATCH(E404,tblProductos[ITEM],0)),""))</f>
        <v/>
      </c>
    </row>
    <row r="405" spans="1:19" x14ac:dyDescent="0.3">
      <c r="A405" s="40"/>
      <c r="B405" s="14" t="str">
        <f t="shared" si="30"/>
        <v/>
      </c>
      <c r="C405" s="14" t="str">
        <f>IF(D405="","",IFERROR(INDEX(tblClientes[ID],MATCH(D405,tblClientes[NOMBRE],0)),""))</f>
        <v/>
      </c>
      <c r="D405" s="14"/>
      <c r="E405" s="14"/>
      <c r="F405" s="14" t="str">
        <f>IF(E405="","",IFERROR(INDEX(tblProductos[CATEGORIA],MATCH(E405,tblProductos[ITEM],0)),""))</f>
        <v/>
      </c>
      <c r="G405" s="15"/>
      <c r="H405" s="16"/>
      <c r="I405" s="16" t="str">
        <f>IF(E405="","",IFERROR(INDEX(tblProductos[PRECIO_VENTA],MATCH(E405,tblProductos[ITEM],0)),""))</f>
        <v/>
      </c>
      <c r="J405" s="16" t="str">
        <f t="shared" si="31"/>
        <v/>
      </c>
      <c r="K405" s="16" t="str">
        <f t="shared" si="32"/>
        <v/>
      </c>
      <c r="L405" s="16" t="str">
        <f>IF(E405="","",IFERROR(INDEX(tblProductos[COSTO TOTAL],MATCH(E405,tblProductos[ITEM],0)),""))</f>
        <v/>
      </c>
      <c r="M405" s="16" t="str">
        <f t="shared" si="33"/>
        <v/>
      </c>
      <c r="N405" s="16" t="str">
        <f t="shared" si="34"/>
        <v/>
      </c>
      <c r="O405" s="14" t="s">
        <v>34</v>
      </c>
      <c r="P405" s="14" t="s">
        <v>35</v>
      </c>
      <c r="Q405" s="14" t="s">
        <v>36</v>
      </c>
      <c r="R405" s="14"/>
      <c r="S405" t="str">
        <f>IF(E405="","",IFERROR(INDEX(tblProductos[STOCK_ACTUAL],MATCH(E405,tblProductos[ITEM],0)),""))</f>
        <v/>
      </c>
    </row>
    <row r="406" spans="1:19" x14ac:dyDescent="0.3">
      <c r="A406" s="40"/>
      <c r="B406" s="14" t="str">
        <f t="shared" si="30"/>
        <v/>
      </c>
      <c r="C406" s="14" t="str">
        <f>IF(D406="","",IFERROR(INDEX(tblClientes[ID],MATCH(D406,tblClientes[NOMBRE],0)),""))</f>
        <v/>
      </c>
      <c r="D406" s="14"/>
      <c r="E406" s="14"/>
      <c r="F406" s="14" t="str">
        <f>IF(E406="","",IFERROR(INDEX(tblProductos[CATEGORIA],MATCH(E406,tblProductos[ITEM],0)),""))</f>
        <v/>
      </c>
      <c r="G406" s="15"/>
      <c r="H406" s="16"/>
      <c r="I406" s="16" t="str">
        <f>IF(E406="","",IFERROR(INDEX(tblProductos[PRECIO_VENTA],MATCH(E406,tblProductos[ITEM],0)),""))</f>
        <v/>
      </c>
      <c r="J406" s="16" t="str">
        <f t="shared" si="31"/>
        <v/>
      </c>
      <c r="K406" s="16" t="str">
        <f t="shared" si="32"/>
        <v/>
      </c>
      <c r="L406" s="16" t="str">
        <f>IF(E406="","",IFERROR(INDEX(tblProductos[COSTO TOTAL],MATCH(E406,tblProductos[ITEM],0)),""))</f>
        <v/>
      </c>
      <c r="M406" s="16" t="str">
        <f t="shared" si="33"/>
        <v/>
      </c>
      <c r="N406" s="16" t="str">
        <f t="shared" si="34"/>
        <v/>
      </c>
      <c r="O406" s="14" t="s">
        <v>34</v>
      </c>
      <c r="P406" s="14" t="s">
        <v>35</v>
      </c>
      <c r="Q406" s="14" t="s">
        <v>36</v>
      </c>
      <c r="R406" s="14"/>
      <c r="S406" t="str">
        <f>IF(E406="","",IFERROR(INDEX(tblProductos[STOCK_ACTUAL],MATCH(E406,tblProductos[ITEM],0)),""))</f>
        <v/>
      </c>
    </row>
    <row r="407" spans="1:19" x14ac:dyDescent="0.3">
      <c r="A407" s="40"/>
      <c r="B407" s="14" t="str">
        <f t="shared" si="30"/>
        <v/>
      </c>
      <c r="C407" s="14" t="str">
        <f>IF(D407="","",IFERROR(INDEX(tblClientes[ID],MATCH(D407,tblClientes[NOMBRE],0)),""))</f>
        <v/>
      </c>
      <c r="D407" s="14"/>
      <c r="E407" s="14"/>
      <c r="F407" s="14" t="str">
        <f>IF(E407="","",IFERROR(INDEX(tblProductos[CATEGORIA],MATCH(E407,tblProductos[ITEM],0)),""))</f>
        <v/>
      </c>
      <c r="G407" s="15"/>
      <c r="H407" s="16"/>
      <c r="I407" s="16" t="str">
        <f>IF(E407="","",IFERROR(INDEX(tblProductos[PRECIO_VENTA],MATCH(E407,tblProductos[ITEM],0)),""))</f>
        <v/>
      </c>
      <c r="J407" s="16" t="str">
        <f t="shared" si="31"/>
        <v/>
      </c>
      <c r="K407" s="16" t="str">
        <f t="shared" si="32"/>
        <v/>
      </c>
      <c r="L407" s="16" t="str">
        <f>IF(E407="","",IFERROR(INDEX(tblProductos[COSTO TOTAL],MATCH(E407,tblProductos[ITEM],0)),""))</f>
        <v/>
      </c>
      <c r="M407" s="16" t="str">
        <f t="shared" si="33"/>
        <v/>
      </c>
      <c r="N407" s="16" t="str">
        <f t="shared" si="34"/>
        <v/>
      </c>
      <c r="O407" s="14" t="s">
        <v>34</v>
      </c>
      <c r="P407" s="14" t="s">
        <v>35</v>
      </c>
      <c r="Q407" s="14" t="s">
        <v>36</v>
      </c>
      <c r="R407" s="14"/>
      <c r="S407" t="str">
        <f>IF(E407="","",IFERROR(INDEX(tblProductos[STOCK_ACTUAL],MATCH(E407,tblProductos[ITEM],0)),""))</f>
        <v/>
      </c>
    </row>
    <row r="408" spans="1:19" x14ac:dyDescent="0.3">
      <c r="A408" s="40"/>
      <c r="B408" s="14" t="str">
        <f t="shared" si="30"/>
        <v/>
      </c>
      <c r="C408" s="14" t="str">
        <f>IF(D408="","",IFERROR(INDEX(tblClientes[ID],MATCH(D408,tblClientes[NOMBRE],0)),""))</f>
        <v/>
      </c>
      <c r="D408" s="14"/>
      <c r="E408" s="14"/>
      <c r="F408" s="14" t="str">
        <f>IF(E408="","",IFERROR(INDEX(tblProductos[CATEGORIA],MATCH(E408,tblProductos[ITEM],0)),""))</f>
        <v/>
      </c>
      <c r="G408" s="15"/>
      <c r="H408" s="16"/>
      <c r="I408" s="16" t="str">
        <f>IF(E408="","",IFERROR(INDEX(tblProductos[PRECIO_VENTA],MATCH(E408,tblProductos[ITEM],0)),""))</f>
        <v/>
      </c>
      <c r="J408" s="16" t="str">
        <f t="shared" si="31"/>
        <v/>
      </c>
      <c r="K408" s="16" t="str">
        <f t="shared" si="32"/>
        <v/>
      </c>
      <c r="L408" s="16" t="str">
        <f>IF(E408="","",IFERROR(INDEX(tblProductos[COSTO TOTAL],MATCH(E408,tblProductos[ITEM],0)),""))</f>
        <v/>
      </c>
      <c r="M408" s="16" t="str">
        <f t="shared" si="33"/>
        <v/>
      </c>
      <c r="N408" s="16" t="str">
        <f t="shared" si="34"/>
        <v/>
      </c>
      <c r="O408" s="14" t="s">
        <v>34</v>
      </c>
      <c r="P408" s="14" t="s">
        <v>35</v>
      </c>
      <c r="Q408" s="14" t="s">
        <v>36</v>
      </c>
      <c r="R408" s="14"/>
      <c r="S408" t="str">
        <f>IF(E408="","",IFERROR(INDEX(tblProductos[STOCK_ACTUAL],MATCH(E408,tblProductos[ITEM],0)),""))</f>
        <v/>
      </c>
    </row>
    <row r="409" spans="1:19" x14ac:dyDescent="0.3">
      <c r="A409" s="40"/>
      <c r="B409" s="14" t="str">
        <f t="shared" si="30"/>
        <v/>
      </c>
      <c r="C409" s="14" t="str">
        <f>IF(D409="","",IFERROR(INDEX(tblClientes[ID],MATCH(D409,tblClientes[NOMBRE],0)),""))</f>
        <v/>
      </c>
      <c r="D409" s="14"/>
      <c r="E409" s="14"/>
      <c r="F409" s="14" t="str">
        <f>IF(E409="","",IFERROR(INDEX(tblProductos[CATEGORIA],MATCH(E409,tblProductos[ITEM],0)),""))</f>
        <v/>
      </c>
      <c r="G409" s="15"/>
      <c r="H409" s="16"/>
      <c r="I409" s="16" t="str">
        <f>IF(E409="","",IFERROR(INDEX(tblProductos[PRECIO_VENTA],MATCH(E409,tblProductos[ITEM],0)),""))</f>
        <v/>
      </c>
      <c r="J409" s="16" t="str">
        <f t="shared" si="31"/>
        <v/>
      </c>
      <c r="K409" s="16" t="str">
        <f t="shared" si="32"/>
        <v/>
      </c>
      <c r="L409" s="16" t="str">
        <f>IF(E409="","",IFERROR(INDEX(tblProductos[COSTO TOTAL],MATCH(E409,tblProductos[ITEM],0)),""))</f>
        <v/>
      </c>
      <c r="M409" s="16" t="str">
        <f t="shared" si="33"/>
        <v/>
      </c>
      <c r="N409" s="16" t="str">
        <f t="shared" si="34"/>
        <v/>
      </c>
      <c r="O409" s="14" t="s">
        <v>34</v>
      </c>
      <c r="P409" s="14" t="s">
        <v>35</v>
      </c>
      <c r="Q409" s="14" t="s">
        <v>36</v>
      </c>
      <c r="R409" s="14"/>
      <c r="S409" t="str">
        <f>IF(E409="","",IFERROR(INDEX(tblProductos[STOCK_ACTUAL],MATCH(E409,tblProductos[ITEM],0)),""))</f>
        <v/>
      </c>
    </row>
    <row r="410" spans="1:19" x14ac:dyDescent="0.3">
      <c r="A410" s="40"/>
      <c r="B410" s="14" t="str">
        <f t="shared" si="30"/>
        <v/>
      </c>
      <c r="C410" s="14" t="str">
        <f>IF(D410="","",IFERROR(INDEX(tblClientes[ID],MATCH(D410,tblClientes[NOMBRE],0)),""))</f>
        <v/>
      </c>
      <c r="D410" s="14"/>
      <c r="E410" s="14"/>
      <c r="F410" s="14" t="str">
        <f>IF(E410="","",IFERROR(INDEX(tblProductos[CATEGORIA],MATCH(E410,tblProductos[ITEM],0)),""))</f>
        <v/>
      </c>
      <c r="G410" s="15"/>
      <c r="H410" s="16"/>
      <c r="I410" s="16" t="str">
        <f>IF(E410="","",IFERROR(INDEX(tblProductos[PRECIO_VENTA],MATCH(E410,tblProductos[ITEM],0)),""))</f>
        <v/>
      </c>
      <c r="J410" s="16" t="str">
        <f t="shared" si="31"/>
        <v/>
      </c>
      <c r="K410" s="16" t="str">
        <f t="shared" si="32"/>
        <v/>
      </c>
      <c r="L410" s="16" t="str">
        <f>IF(E410="","",IFERROR(INDEX(tblProductos[COSTO TOTAL],MATCH(E410,tblProductos[ITEM],0)),""))</f>
        <v/>
      </c>
      <c r="M410" s="16" t="str">
        <f t="shared" si="33"/>
        <v/>
      </c>
      <c r="N410" s="16" t="str">
        <f t="shared" si="34"/>
        <v/>
      </c>
      <c r="O410" s="14" t="s">
        <v>34</v>
      </c>
      <c r="P410" s="14" t="s">
        <v>35</v>
      </c>
      <c r="Q410" s="14" t="s">
        <v>36</v>
      </c>
      <c r="R410" s="14"/>
      <c r="S410" t="str">
        <f>IF(E410="","",IFERROR(INDEX(tblProductos[STOCK_ACTUAL],MATCH(E410,tblProductos[ITEM],0)),""))</f>
        <v/>
      </c>
    </row>
    <row r="411" spans="1:19" x14ac:dyDescent="0.3">
      <c r="A411" s="40"/>
      <c r="B411" s="14" t="str">
        <f t="shared" si="30"/>
        <v/>
      </c>
      <c r="C411" s="14" t="str">
        <f>IF(D411="","",IFERROR(INDEX(tblClientes[ID],MATCH(D411,tblClientes[NOMBRE],0)),""))</f>
        <v/>
      </c>
      <c r="D411" s="14"/>
      <c r="E411" s="14"/>
      <c r="F411" s="14" t="str">
        <f>IF(E411="","",IFERROR(INDEX(tblProductos[CATEGORIA],MATCH(E411,tblProductos[ITEM],0)),""))</f>
        <v/>
      </c>
      <c r="G411" s="15"/>
      <c r="H411" s="16"/>
      <c r="I411" s="16" t="str">
        <f>IF(E411="","",IFERROR(INDEX(tblProductos[PRECIO_VENTA],MATCH(E411,tblProductos[ITEM],0)),""))</f>
        <v/>
      </c>
      <c r="J411" s="16" t="str">
        <f t="shared" si="31"/>
        <v/>
      </c>
      <c r="K411" s="16" t="str">
        <f t="shared" si="32"/>
        <v/>
      </c>
      <c r="L411" s="16" t="str">
        <f>IF(E411="","",IFERROR(INDEX(tblProductos[COSTO TOTAL],MATCH(E411,tblProductos[ITEM],0)),""))</f>
        <v/>
      </c>
      <c r="M411" s="16" t="str">
        <f t="shared" si="33"/>
        <v/>
      </c>
      <c r="N411" s="16" t="str">
        <f t="shared" si="34"/>
        <v/>
      </c>
      <c r="O411" s="14" t="s">
        <v>34</v>
      </c>
      <c r="P411" s="14" t="s">
        <v>35</v>
      </c>
      <c r="Q411" s="14" t="s">
        <v>36</v>
      </c>
      <c r="R411" s="14"/>
      <c r="S411" t="str">
        <f>IF(E411="","",IFERROR(INDEX(tblProductos[STOCK_ACTUAL],MATCH(E411,tblProductos[ITEM],0)),""))</f>
        <v/>
      </c>
    </row>
    <row r="412" spans="1:19" x14ac:dyDescent="0.3">
      <c r="A412" s="40"/>
      <c r="B412" s="14" t="str">
        <f t="shared" si="30"/>
        <v/>
      </c>
      <c r="C412" s="14" t="str">
        <f>IF(D412="","",IFERROR(INDEX(tblClientes[ID],MATCH(D412,tblClientes[NOMBRE],0)),""))</f>
        <v/>
      </c>
      <c r="D412" s="14"/>
      <c r="E412" s="14"/>
      <c r="F412" s="14" t="str">
        <f>IF(E412="","",IFERROR(INDEX(tblProductos[CATEGORIA],MATCH(E412,tblProductos[ITEM],0)),""))</f>
        <v/>
      </c>
      <c r="G412" s="15"/>
      <c r="H412" s="16"/>
      <c r="I412" s="16" t="str">
        <f>IF(E412="","",IFERROR(INDEX(tblProductos[PRECIO_VENTA],MATCH(E412,tblProductos[ITEM],0)),""))</f>
        <v/>
      </c>
      <c r="J412" s="16" t="str">
        <f t="shared" si="31"/>
        <v/>
      </c>
      <c r="K412" s="16" t="str">
        <f t="shared" si="32"/>
        <v/>
      </c>
      <c r="L412" s="16" t="str">
        <f>IF(E412="","",IFERROR(INDEX(tblProductos[COSTO TOTAL],MATCH(E412,tblProductos[ITEM],0)),""))</f>
        <v/>
      </c>
      <c r="M412" s="16" t="str">
        <f t="shared" si="33"/>
        <v/>
      </c>
      <c r="N412" s="16" t="str">
        <f t="shared" si="34"/>
        <v/>
      </c>
      <c r="O412" s="14" t="s">
        <v>34</v>
      </c>
      <c r="P412" s="14" t="s">
        <v>35</v>
      </c>
      <c r="Q412" s="14" t="s">
        <v>36</v>
      </c>
      <c r="R412" s="14"/>
      <c r="S412" t="str">
        <f>IF(E412="","",IFERROR(INDEX(tblProductos[STOCK_ACTUAL],MATCH(E412,tblProductos[ITEM],0)),""))</f>
        <v/>
      </c>
    </row>
    <row r="413" spans="1:19" x14ac:dyDescent="0.3">
      <c r="A413" s="40"/>
      <c r="B413" s="14" t="str">
        <f t="shared" si="30"/>
        <v/>
      </c>
      <c r="C413" s="14" t="str">
        <f>IF(D413="","",IFERROR(INDEX(tblClientes[ID],MATCH(D413,tblClientes[NOMBRE],0)),""))</f>
        <v/>
      </c>
      <c r="D413" s="14"/>
      <c r="E413" s="14"/>
      <c r="F413" s="14" t="str">
        <f>IF(E413="","",IFERROR(INDEX(tblProductos[CATEGORIA],MATCH(E413,tblProductos[ITEM],0)),""))</f>
        <v/>
      </c>
      <c r="G413" s="15"/>
      <c r="H413" s="16"/>
      <c r="I413" s="16" t="str">
        <f>IF(E413="","",IFERROR(INDEX(tblProductos[PRECIO_VENTA],MATCH(E413,tblProductos[ITEM],0)),""))</f>
        <v/>
      </c>
      <c r="J413" s="16" t="str">
        <f t="shared" si="31"/>
        <v/>
      </c>
      <c r="K413" s="16" t="str">
        <f t="shared" si="32"/>
        <v/>
      </c>
      <c r="L413" s="16" t="str">
        <f>IF(E413="","",IFERROR(INDEX(tblProductos[COSTO TOTAL],MATCH(E413,tblProductos[ITEM],0)),""))</f>
        <v/>
      </c>
      <c r="M413" s="16" t="str">
        <f t="shared" si="33"/>
        <v/>
      </c>
      <c r="N413" s="16" t="str">
        <f t="shared" si="34"/>
        <v/>
      </c>
      <c r="O413" s="14" t="s">
        <v>34</v>
      </c>
      <c r="P413" s="14" t="s">
        <v>35</v>
      </c>
      <c r="Q413" s="14" t="s">
        <v>36</v>
      </c>
      <c r="R413" s="14"/>
      <c r="S413" t="str">
        <f>IF(E413="","",IFERROR(INDEX(tblProductos[STOCK_ACTUAL],MATCH(E413,tblProductos[ITEM],0)),""))</f>
        <v/>
      </c>
    </row>
    <row r="414" spans="1:19" x14ac:dyDescent="0.3">
      <c r="A414" s="40"/>
      <c r="B414" s="14" t="str">
        <f t="shared" si="30"/>
        <v/>
      </c>
      <c r="C414" s="14" t="str">
        <f>IF(D414="","",IFERROR(INDEX(tblClientes[ID],MATCH(D414,tblClientes[NOMBRE],0)),""))</f>
        <v/>
      </c>
      <c r="D414" s="14"/>
      <c r="E414" s="14"/>
      <c r="F414" s="14" t="str">
        <f>IF(E414="","",IFERROR(INDEX(tblProductos[CATEGORIA],MATCH(E414,tblProductos[ITEM],0)),""))</f>
        <v/>
      </c>
      <c r="G414" s="15"/>
      <c r="H414" s="16"/>
      <c r="I414" s="16" t="str">
        <f>IF(E414="","",IFERROR(INDEX(tblProductos[PRECIO_VENTA],MATCH(E414,tblProductos[ITEM],0)),""))</f>
        <v/>
      </c>
      <c r="J414" s="16" t="str">
        <f t="shared" si="31"/>
        <v/>
      </c>
      <c r="K414" s="16" t="str">
        <f t="shared" si="32"/>
        <v/>
      </c>
      <c r="L414" s="16" t="str">
        <f>IF(E414="","",IFERROR(INDEX(tblProductos[COSTO TOTAL],MATCH(E414,tblProductos[ITEM],0)),""))</f>
        <v/>
      </c>
      <c r="M414" s="16" t="str">
        <f t="shared" si="33"/>
        <v/>
      </c>
      <c r="N414" s="16" t="str">
        <f t="shared" si="34"/>
        <v/>
      </c>
      <c r="O414" s="14" t="s">
        <v>34</v>
      </c>
      <c r="P414" s="14" t="s">
        <v>35</v>
      </c>
      <c r="Q414" s="14" t="s">
        <v>36</v>
      </c>
      <c r="R414" s="14"/>
      <c r="S414" t="str">
        <f>IF(E414="","",IFERROR(INDEX(tblProductos[STOCK_ACTUAL],MATCH(E414,tblProductos[ITEM],0)),""))</f>
        <v/>
      </c>
    </row>
    <row r="415" spans="1:19" x14ac:dyDescent="0.3">
      <c r="A415" s="40"/>
      <c r="B415" s="14" t="str">
        <f t="shared" si="30"/>
        <v/>
      </c>
      <c r="C415" s="14" t="str">
        <f>IF(D415="","",IFERROR(INDEX(tblClientes[ID],MATCH(D415,tblClientes[NOMBRE],0)),""))</f>
        <v/>
      </c>
      <c r="D415" s="14"/>
      <c r="E415" s="14"/>
      <c r="F415" s="14" t="str">
        <f>IF(E415="","",IFERROR(INDEX(tblProductos[CATEGORIA],MATCH(E415,tblProductos[ITEM],0)),""))</f>
        <v/>
      </c>
      <c r="G415" s="15"/>
      <c r="H415" s="16"/>
      <c r="I415" s="16" t="str">
        <f>IF(E415="","",IFERROR(INDEX(tblProductos[PRECIO_VENTA],MATCH(E415,tblProductos[ITEM],0)),""))</f>
        <v/>
      </c>
      <c r="J415" s="16" t="str">
        <f t="shared" si="31"/>
        <v/>
      </c>
      <c r="K415" s="16" t="str">
        <f t="shared" si="32"/>
        <v/>
      </c>
      <c r="L415" s="16" t="str">
        <f>IF(E415="","",IFERROR(INDEX(tblProductos[COSTO TOTAL],MATCH(E415,tblProductos[ITEM],0)),""))</f>
        <v/>
      </c>
      <c r="M415" s="16" t="str">
        <f t="shared" si="33"/>
        <v/>
      </c>
      <c r="N415" s="16" t="str">
        <f t="shared" si="34"/>
        <v/>
      </c>
      <c r="O415" s="14" t="s">
        <v>34</v>
      </c>
      <c r="P415" s="14" t="s">
        <v>35</v>
      </c>
      <c r="Q415" s="14" t="s">
        <v>36</v>
      </c>
      <c r="R415" s="14"/>
      <c r="S415" t="str">
        <f>IF(E415="","",IFERROR(INDEX(tblProductos[STOCK_ACTUAL],MATCH(E415,tblProductos[ITEM],0)),""))</f>
        <v/>
      </c>
    </row>
    <row r="416" spans="1:19" x14ac:dyDescent="0.3">
      <c r="A416" s="40"/>
      <c r="B416" s="14" t="str">
        <f t="shared" si="30"/>
        <v/>
      </c>
      <c r="C416" s="14" t="str">
        <f>IF(D416="","",IFERROR(INDEX(tblClientes[ID],MATCH(D416,tblClientes[NOMBRE],0)),""))</f>
        <v/>
      </c>
      <c r="D416" s="14"/>
      <c r="E416" s="14"/>
      <c r="F416" s="14" t="str">
        <f>IF(E416="","",IFERROR(INDEX(tblProductos[CATEGORIA],MATCH(E416,tblProductos[ITEM],0)),""))</f>
        <v/>
      </c>
      <c r="G416" s="15"/>
      <c r="H416" s="16"/>
      <c r="I416" s="16" t="str">
        <f>IF(E416="","",IFERROR(INDEX(tblProductos[PRECIO_VENTA],MATCH(E416,tblProductos[ITEM],0)),""))</f>
        <v/>
      </c>
      <c r="J416" s="16" t="str">
        <f t="shared" si="31"/>
        <v/>
      </c>
      <c r="K416" s="16" t="str">
        <f t="shared" si="32"/>
        <v/>
      </c>
      <c r="L416" s="16" t="str">
        <f>IF(E416="","",IFERROR(INDEX(tblProductos[COSTO TOTAL],MATCH(E416,tblProductos[ITEM],0)),""))</f>
        <v/>
      </c>
      <c r="M416" s="16" t="str">
        <f t="shared" si="33"/>
        <v/>
      </c>
      <c r="N416" s="16" t="str">
        <f t="shared" si="34"/>
        <v/>
      </c>
      <c r="O416" s="14" t="s">
        <v>34</v>
      </c>
      <c r="P416" s="14" t="s">
        <v>35</v>
      </c>
      <c r="Q416" s="14" t="s">
        <v>36</v>
      </c>
      <c r="R416" s="14"/>
      <c r="S416" t="str">
        <f>IF(E416="","",IFERROR(INDEX(tblProductos[STOCK_ACTUAL],MATCH(E416,tblProductos[ITEM],0)),""))</f>
        <v/>
      </c>
    </row>
    <row r="417" spans="1:19" x14ac:dyDescent="0.3">
      <c r="A417" s="40"/>
      <c r="B417" s="14" t="str">
        <f t="shared" si="30"/>
        <v/>
      </c>
      <c r="C417" s="14" t="str">
        <f>IF(D417="","",IFERROR(INDEX(tblClientes[ID],MATCH(D417,tblClientes[NOMBRE],0)),""))</f>
        <v/>
      </c>
      <c r="D417" s="14"/>
      <c r="E417" s="14"/>
      <c r="F417" s="14" t="str">
        <f>IF(E417="","",IFERROR(INDEX(tblProductos[CATEGORIA],MATCH(E417,tblProductos[ITEM],0)),""))</f>
        <v/>
      </c>
      <c r="G417" s="15"/>
      <c r="H417" s="16"/>
      <c r="I417" s="16" t="str">
        <f>IF(E417="","",IFERROR(INDEX(tblProductos[PRECIO_VENTA],MATCH(E417,tblProductos[ITEM],0)),""))</f>
        <v/>
      </c>
      <c r="J417" s="16" t="str">
        <f t="shared" si="31"/>
        <v/>
      </c>
      <c r="K417" s="16" t="str">
        <f t="shared" si="32"/>
        <v/>
      </c>
      <c r="L417" s="16" t="str">
        <f>IF(E417="","",IFERROR(INDEX(tblProductos[COSTO TOTAL],MATCH(E417,tblProductos[ITEM],0)),""))</f>
        <v/>
      </c>
      <c r="M417" s="16" t="str">
        <f t="shared" si="33"/>
        <v/>
      </c>
      <c r="N417" s="16" t="str">
        <f t="shared" si="34"/>
        <v/>
      </c>
      <c r="O417" s="14" t="s">
        <v>34</v>
      </c>
      <c r="P417" s="14" t="s">
        <v>35</v>
      </c>
      <c r="Q417" s="14" t="s">
        <v>36</v>
      </c>
      <c r="R417" s="14"/>
      <c r="S417" t="str">
        <f>IF(E417="","",IFERROR(INDEX(tblProductos[STOCK_ACTUAL],MATCH(E417,tblProductos[ITEM],0)),""))</f>
        <v/>
      </c>
    </row>
    <row r="418" spans="1:19" x14ac:dyDescent="0.3">
      <c r="A418" s="40"/>
      <c r="B418" s="14" t="str">
        <f t="shared" si="30"/>
        <v/>
      </c>
      <c r="C418" s="14" t="str">
        <f>IF(D418="","",IFERROR(INDEX(tblClientes[ID],MATCH(D418,tblClientes[NOMBRE],0)),""))</f>
        <v/>
      </c>
      <c r="D418" s="14"/>
      <c r="E418" s="14"/>
      <c r="F418" s="14" t="str">
        <f>IF(E418="","",IFERROR(INDEX(tblProductos[CATEGORIA],MATCH(E418,tblProductos[ITEM],0)),""))</f>
        <v/>
      </c>
      <c r="G418" s="15"/>
      <c r="H418" s="16"/>
      <c r="I418" s="16" t="str">
        <f>IF(E418="","",IFERROR(INDEX(tblProductos[PRECIO_VENTA],MATCH(E418,tblProductos[ITEM],0)),""))</f>
        <v/>
      </c>
      <c r="J418" s="16" t="str">
        <f t="shared" si="31"/>
        <v/>
      </c>
      <c r="K418" s="16" t="str">
        <f t="shared" si="32"/>
        <v/>
      </c>
      <c r="L418" s="16" t="str">
        <f>IF(E418="","",IFERROR(INDEX(tblProductos[COSTO TOTAL],MATCH(E418,tblProductos[ITEM],0)),""))</f>
        <v/>
      </c>
      <c r="M418" s="16" t="str">
        <f t="shared" si="33"/>
        <v/>
      </c>
      <c r="N418" s="16" t="str">
        <f t="shared" si="34"/>
        <v/>
      </c>
      <c r="O418" s="14" t="s">
        <v>34</v>
      </c>
      <c r="P418" s="14" t="s">
        <v>35</v>
      </c>
      <c r="Q418" s="14" t="s">
        <v>36</v>
      </c>
      <c r="R418" s="14"/>
      <c r="S418" t="str">
        <f>IF(E418="","",IFERROR(INDEX(tblProductos[STOCK_ACTUAL],MATCH(E418,tblProductos[ITEM],0)),""))</f>
        <v/>
      </c>
    </row>
    <row r="419" spans="1:19" x14ac:dyDescent="0.3">
      <c r="A419" s="40"/>
      <c r="B419" s="14" t="str">
        <f t="shared" si="30"/>
        <v/>
      </c>
      <c r="C419" s="14" t="str">
        <f>IF(D419="","",IFERROR(INDEX(tblClientes[ID],MATCH(D419,tblClientes[NOMBRE],0)),""))</f>
        <v/>
      </c>
      <c r="D419" s="14"/>
      <c r="E419" s="14"/>
      <c r="F419" s="14" t="str">
        <f>IF(E419="","",IFERROR(INDEX(tblProductos[CATEGORIA],MATCH(E419,tblProductos[ITEM],0)),""))</f>
        <v/>
      </c>
      <c r="G419" s="15"/>
      <c r="H419" s="16"/>
      <c r="I419" s="16" t="str">
        <f>IF(E419="","",IFERROR(INDEX(tblProductos[PRECIO_VENTA],MATCH(E419,tblProductos[ITEM],0)),""))</f>
        <v/>
      </c>
      <c r="J419" s="16" t="str">
        <f t="shared" si="31"/>
        <v/>
      </c>
      <c r="K419" s="16" t="str">
        <f t="shared" si="32"/>
        <v/>
      </c>
      <c r="L419" s="16" t="str">
        <f>IF(E419="","",IFERROR(INDEX(tblProductos[COSTO TOTAL],MATCH(E419,tblProductos[ITEM],0)),""))</f>
        <v/>
      </c>
      <c r="M419" s="16" t="str">
        <f t="shared" si="33"/>
        <v/>
      </c>
      <c r="N419" s="16" t="str">
        <f t="shared" si="34"/>
        <v/>
      </c>
      <c r="O419" s="14" t="s">
        <v>34</v>
      </c>
      <c r="P419" s="14" t="s">
        <v>35</v>
      </c>
      <c r="Q419" s="14" t="s">
        <v>36</v>
      </c>
      <c r="R419" s="14"/>
      <c r="S419" t="str">
        <f>IF(E419="","",IFERROR(INDEX(tblProductos[STOCK_ACTUAL],MATCH(E419,tblProductos[ITEM],0)),""))</f>
        <v/>
      </c>
    </row>
    <row r="420" spans="1:19" x14ac:dyDescent="0.3">
      <c r="A420" s="40"/>
      <c r="B420" s="14" t="str">
        <f t="shared" si="30"/>
        <v/>
      </c>
      <c r="C420" s="14" t="str">
        <f>IF(D420="","",IFERROR(INDEX(tblClientes[ID],MATCH(D420,tblClientes[NOMBRE],0)),""))</f>
        <v/>
      </c>
      <c r="D420" s="14"/>
      <c r="E420" s="14"/>
      <c r="F420" s="14" t="str">
        <f>IF(E420="","",IFERROR(INDEX(tblProductos[CATEGORIA],MATCH(E420,tblProductos[ITEM],0)),""))</f>
        <v/>
      </c>
      <c r="G420" s="15"/>
      <c r="H420" s="16"/>
      <c r="I420" s="16" t="str">
        <f>IF(E420="","",IFERROR(INDEX(tblProductos[PRECIO_VENTA],MATCH(E420,tblProductos[ITEM],0)),""))</f>
        <v/>
      </c>
      <c r="J420" s="16" t="str">
        <f t="shared" si="31"/>
        <v/>
      </c>
      <c r="K420" s="16" t="str">
        <f t="shared" si="32"/>
        <v/>
      </c>
      <c r="L420" s="16" t="str">
        <f>IF(E420="","",IFERROR(INDEX(tblProductos[COSTO TOTAL],MATCH(E420,tblProductos[ITEM],0)),""))</f>
        <v/>
      </c>
      <c r="M420" s="16" t="str">
        <f t="shared" si="33"/>
        <v/>
      </c>
      <c r="N420" s="16" t="str">
        <f t="shared" si="34"/>
        <v/>
      </c>
      <c r="O420" s="14" t="s">
        <v>34</v>
      </c>
      <c r="P420" s="14" t="s">
        <v>35</v>
      </c>
      <c r="Q420" s="14" t="s">
        <v>36</v>
      </c>
      <c r="R420" s="14"/>
      <c r="S420" t="str">
        <f>IF(E420="","",IFERROR(INDEX(tblProductos[STOCK_ACTUAL],MATCH(E420,tblProductos[ITEM],0)),""))</f>
        <v/>
      </c>
    </row>
    <row r="421" spans="1:19" x14ac:dyDescent="0.3">
      <c r="A421" s="40"/>
      <c r="B421" s="14" t="str">
        <f t="shared" si="30"/>
        <v/>
      </c>
      <c r="C421" s="14" t="str">
        <f>IF(D421="","",IFERROR(INDEX(tblClientes[ID],MATCH(D421,tblClientes[NOMBRE],0)),""))</f>
        <v/>
      </c>
      <c r="D421" s="14"/>
      <c r="E421" s="14"/>
      <c r="F421" s="14" t="str">
        <f>IF(E421="","",IFERROR(INDEX(tblProductos[CATEGORIA],MATCH(E421,tblProductos[ITEM],0)),""))</f>
        <v/>
      </c>
      <c r="G421" s="15"/>
      <c r="H421" s="16"/>
      <c r="I421" s="16" t="str">
        <f>IF(E421="","",IFERROR(INDEX(tblProductos[PRECIO_VENTA],MATCH(E421,tblProductos[ITEM],0)),""))</f>
        <v/>
      </c>
      <c r="J421" s="16" t="str">
        <f t="shared" si="31"/>
        <v/>
      </c>
      <c r="K421" s="16" t="str">
        <f t="shared" si="32"/>
        <v/>
      </c>
      <c r="L421" s="16" t="str">
        <f>IF(E421="","",IFERROR(INDEX(tblProductos[COSTO TOTAL],MATCH(E421,tblProductos[ITEM],0)),""))</f>
        <v/>
      </c>
      <c r="M421" s="16" t="str">
        <f t="shared" si="33"/>
        <v/>
      </c>
      <c r="N421" s="16" t="str">
        <f t="shared" si="34"/>
        <v/>
      </c>
      <c r="O421" s="14" t="s">
        <v>34</v>
      </c>
      <c r="P421" s="14" t="s">
        <v>35</v>
      </c>
      <c r="Q421" s="14" t="s">
        <v>36</v>
      </c>
      <c r="R421" s="14"/>
      <c r="S421" t="str">
        <f>IF(E421="","",IFERROR(INDEX(tblProductos[STOCK_ACTUAL],MATCH(E421,tblProductos[ITEM],0)),""))</f>
        <v/>
      </c>
    </row>
    <row r="422" spans="1:19" x14ac:dyDescent="0.3">
      <c r="A422" s="40"/>
      <c r="B422" s="14" t="str">
        <f t="shared" si="30"/>
        <v/>
      </c>
      <c r="C422" s="14" t="str">
        <f>IF(D422="","",IFERROR(INDEX(tblClientes[ID],MATCH(D422,tblClientes[NOMBRE],0)),""))</f>
        <v/>
      </c>
      <c r="D422" s="14"/>
      <c r="E422" s="14"/>
      <c r="F422" s="14" t="str">
        <f>IF(E422="","",IFERROR(INDEX(tblProductos[CATEGORIA],MATCH(E422,tblProductos[ITEM],0)),""))</f>
        <v/>
      </c>
      <c r="G422" s="15"/>
      <c r="H422" s="16"/>
      <c r="I422" s="16" t="str">
        <f>IF(E422="","",IFERROR(INDEX(tblProductos[PRECIO_VENTA],MATCH(E422,tblProductos[ITEM],0)),""))</f>
        <v/>
      </c>
      <c r="J422" s="16" t="str">
        <f t="shared" si="31"/>
        <v/>
      </c>
      <c r="K422" s="16" t="str">
        <f t="shared" si="32"/>
        <v/>
      </c>
      <c r="L422" s="16" t="str">
        <f>IF(E422="","",IFERROR(INDEX(tblProductos[COSTO TOTAL],MATCH(E422,tblProductos[ITEM],0)),""))</f>
        <v/>
      </c>
      <c r="M422" s="16" t="str">
        <f t="shared" si="33"/>
        <v/>
      </c>
      <c r="N422" s="16" t="str">
        <f t="shared" si="34"/>
        <v/>
      </c>
      <c r="O422" s="14" t="s">
        <v>34</v>
      </c>
      <c r="P422" s="14" t="s">
        <v>35</v>
      </c>
      <c r="Q422" s="14" t="s">
        <v>36</v>
      </c>
      <c r="R422" s="14"/>
      <c r="S422" t="str">
        <f>IF(E422="","",IFERROR(INDEX(tblProductos[STOCK_ACTUAL],MATCH(E422,tblProductos[ITEM],0)),""))</f>
        <v/>
      </c>
    </row>
    <row r="423" spans="1:19" x14ac:dyDescent="0.3">
      <c r="A423" s="40"/>
      <c r="B423" s="14" t="str">
        <f t="shared" si="30"/>
        <v/>
      </c>
      <c r="C423" s="14" t="str">
        <f>IF(D423="","",IFERROR(INDEX(tblClientes[ID],MATCH(D423,tblClientes[NOMBRE],0)),""))</f>
        <v/>
      </c>
      <c r="D423" s="14"/>
      <c r="E423" s="14"/>
      <c r="F423" s="14" t="str">
        <f>IF(E423="","",IFERROR(INDEX(tblProductos[CATEGORIA],MATCH(E423,tblProductos[ITEM],0)),""))</f>
        <v/>
      </c>
      <c r="G423" s="15"/>
      <c r="H423" s="16"/>
      <c r="I423" s="16" t="str">
        <f>IF(E423="","",IFERROR(INDEX(tblProductos[PRECIO_VENTA],MATCH(E423,tblProductos[ITEM],0)),""))</f>
        <v/>
      </c>
      <c r="J423" s="16" t="str">
        <f t="shared" si="31"/>
        <v/>
      </c>
      <c r="K423" s="16" t="str">
        <f t="shared" si="32"/>
        <v/>
      </c>
      <c r="L423" s="16" t="str">
        <f>IF(E423="","",IFERROR(INDEX(tblProductos[COSTO TOTAL],MATCH(E423,tblProductos[ITEM],0)),""))</f>
        <v/>
      </c>
      <c r="M423" s="16" t="str">
        <f t="shared" si="33"/>
        <v/>
      </c>
      <c r="N423" s="16" t="str">
        <f t="shared" si="34"/>
        <v/>
      </c>
      <c r="O423" s="14" t="s">
        <v>34</v>
      </c>
      <c r="P423" s="14" t="s">
        <v>35</v>
      </c>
      <c r="Q423" s="14" t="s">
        <v>36</v>
      </c>
      <c r="R423" s="14"/>
      <c r="S423" t="str">
        <f>IF(E423="","",IFERROR(INDEX(tblProductos[STOCK_ACTUAL],MATCH(E423,tblProductos[ITEM],0)),""))</f>
        <v/>
      </c>
    </row>
    <row r="424" spans="1:19" x14ac:dyDescent="0.3">
      <c r="A424" s="40"/>
      <c r="B424" s="14" t="str">
        <f t="shared" si="30"/>
        <v/>
      </c>
      <c r="C424" s="14" t="str">
        <f>IF(D424="","",IFERROR(INDEX(tblClientes[ID],MATCH(D424,tblClientes[NOMBRE],0)),""))</f>
        <v/>
      </c>
      <c r="D424" s="14"/>
      <c r="E424" s="14"/>
      <c r="F424" s="14" t="str">
        <f>IF(E424="","",IFERROR(INDEX(tblProductos[CATEGORIA],MATCH(E424,tblProductos[ITEM],0)),""))</f>
        <v/>
      </c>
      <c r="G424" s="15"/>
      <c r="H424" s="16"/>
      <c r="I424" s="16" t="str">
        <f>IF(E424="","",IFERROR(INDEX(tblProductos[PRECIO_VENTA],MATCH(E424,tblProductos[ITEM],0)),""))</f>
        <v/>
      </c>
      <c r="J424" s="16" t="str">
        <f t="shared" si="31"/>
        <v/>
      </c>
      <c r="K424" s="16" t="str">
        <f t="shared" si="32"/>
        <v/>
      </c>
      <c r="L424" s="16" t="str">
        <f>IF(E424="","",IFERROR(INDEX(tblProductos[COSTO TOTAL],MATCH(E424,tblProductos[ITEM],0)),""))</f>
        <v/>
      </c>
      <c r="M424" s="16" t="str">
        <f t="shared" si="33"/>
        <v/>
      </c>
      <c r="N424" s="16" t="str">
        <f t="shared" si="34"/>
        <v/>
      </c>
      <c r="O424" s="14" t="s">
        <v>34</v>
      </c>
      <c r="P424" s="14" t="s">
        <v>35</v>
      </c>
      <c r="Q424" s="14" t="s">
        <v>36</v>
      </c>
      <c r="R424" s="14"/>
      <c r="S424" t="str">
        <f>IF(E424="","",IFERROR(INDEX(tblProductos[STOCK_ACTUAL],MATCH(E424,tblProductos[ITEM],0)),""))</f>
        <v/>
      </c>
    </row>
    <row r="425" spans="1:19" x14ac:dyDescent="0.3">
      <c r="A425" s="40"/>
      <c r="B425" s="14" t="str">
        <f t="shared" si="30"/>
        <v/>
      </c>
      <c r="C425" s="14" t="str">
        <f>IF(D425="","",IFERROR(INDEX(tblClientes[ID],MATCH(D425,tblClientes[NOMBRE],0)),""))</f>
        <v/>
      </c>
      <c r="D425" s="14"/>
      <c r="E425" s="14"/>
      <c r="F425" s="14" t="str">
        <f>IF(E425="","",IFERROR(INDEX(tblProductos[CATEGORIA],MATCH(E425,tblProductos[ITEM],0)),""))</f>
        <v/>
      </c>
      <c r="G425" s="15"/>
      <c r="H425" s="16"/>
      <c r="I425" s="16" t="str">
        <f>IF(E425="","",IFERROR(INDEX(tblProductos[PRECIO_VENTA],MATCH(E425,tblProductos[ITEM],0)),""))</f>
        <v/>
      </c>
      <c r="J425" s="16" t="str">
        <f t="shared" si="31"/>
        <v/>
      </c>
      <c r="K425" s="16" t="str">
        <f t="shared" si="32"/>
        <v/>
      </c>
      <c r="L425" s="16" t="str">
        <f>IF(E425="","",IFERROR(INDEX(tblProductos[COSTO TOTAL],MATCH(E425,tblProductos[ITEM],0)),""))</f>
        <v/>
      </c>
      <c r="M425" s="16" t="str">
        <f t="shared" si="33"/>
        <v/>
      </c>
      <c r="N425" s="16" t="str">
        <f t="shared" si="34"/>
        <v/>
      </c>
      <c r="O425" s="14" t="s">
        <v>34</v>
      </c>
      <c r="P425" s="14" t="s">
        <v>35</v>
      </c>
      <c r="Q425" s="14" t="s">
        <v>36</v>
      </c>
      <c r="R425" s="14"/>
      <c r="S425" t="str">
        <f>IF(E425="","",IFERROR(INDEX(tblProductos[STOCK_ACTUAL],MATCH(E425,tblProductos[ITEM],0)),""))</f>
        <v/>
      </c>
    </row>
    <row r="426" spans="1:19" x14ac:dyDescent="0.3">
      <c r="A426" s="40"/>
      <c r="B426" s="14" t="str">
        <f t="shared" si="30"/>
        <v/>
      </c>
      <c r="C426" s="14" t="str">
        <f>IF(D426="","",IFERROR(INDEX(tblClientes[ID],MATCH(D426,tblClientes[NOMBRE],0)),""))</f>
        <v/>
      </c>
      <c r="D426" s="14"/>
      <c r="E426" s="14"/>
      <c r="F426" s="14" t="str">
        <f>IF(E426="","",IFERROR(INDEX(tblProductos[CATEGORIA],MATCH(E426,tblProductos[ITEM],0)),""))</f>
        <v/>
      </c>
      <c r="G426" s="15"/>
      <c r="H426" s="16"/>
      <c r="I426" s="16" t="str">
        <f>IF(E426="","",IFERROR(INDEX(tblProductos[PRECIO_VENTA],MATCH(E426,tblProductos[ITEM],0)),""))</f>
        <v/>
      </c>
      <c r="J426" s="16" t="str">
        <f t="shared" si="31"/>
        <v/>
      </c>
      <c r="K426" s="16" t="str">
        <f t="shared" si="32"/>
        <v/>
      </c>
      <c r="L426" s="16" t="str">
        <f>IF(E426="","",IFERROR(INDEX(tblProductos[COSTO TOTAL],MATCH(E426,tblProductos[ITEM],0)),""))</f>
        <v/>
      </c>
      <c r="M426" s="16" t="str">
        <f t="shared" si="33"/>
        <v/>
      </c>
      <c r="N426" s="16" t="str">
        <f t="shared" si="34"/>
        <v/>
      </c>
      <c r="O426" s="14" t="s">
        <v>34</v>
      </c>
      <c r="P426" s="14" t="s">
        <v>35</v>
      </c>
      <c r="Q426" s="14" t="s">
        <v>36</v>
      </c>
      <c r="R426" s="14"/>
      <c r="S426" t="str">
        <f>IF(E426="","",IFERROR(INDEX(tblProductos[STOCK_ACTUAL],MATCH(E426,tblProductos[ITEM],0)),""))</f>
        <v/>
      </c>
    </row>
    <row r="427" spans="1:19" x14ac:dyDescent="0.3">
      <c r="A427" s="40"/>
      <c r="B427" s="14" t="str">
        <f t="shared" si="30"/>
        <v/>
      </c>
      <c r="C427" s="14" t="str">
        <f>IF(D427="","",IFERROR(INDEX(tblClientes[ID],MATCH(D427,tblClientes[NOMBRE],0)),""))</f>
        <v/>
      </c>
      <c r="D427" s="14"/>
      <c r="E427" s="14"/>
      <c r="F427" s="14" t="str">
        <f>IF(E427="","",IFERROR(INDEX(tblProductos[CATEGORIA],MATCH(E427,tblProductos[ITEM],0)),""))</f>
        <v/>
      </c>
      <c r="G427" s="15"/>
      <c r="H427" s="16"/>
      <c r="I427" s="16" t="str">
        <f>IF(E427="","",IFERROR(INDEX(tblProductos[PRECIO_VENTA],MATCH(E427,tblProductos[ITEM],0)),""))</f>
        <v/>
      </c>
      <c r="J427" s="16" t="str">
        <f t="shared" si="31"/>
        <v/>
      </c>
      <c r="K427" s="16" t="str">
        <f t="shared" si="32"/>
        <v/>
      </c>
      <c r="L427" s="16" t="str">
        <f>IF(E427="","",IFERROR(INDEX(tblProductos[COSTO TOTAL],MATCH(E427,tblProductos[ITEM],0)),""))</f>
        <v/>
      </c>
      <c r="M427" s="16" t="str">
        <f t="shared" si="33"/>
        <v/>
      </c>
      <c r="N427" s="16" t="str">
        <f t="shared" si="34"/>
        <v/>
      </c>
      <c r="O427" s="14" t="s">
        <v>34</v>
      </c>
      <c r="P427" s="14" t="s">
        <v>35</v>
      </c>
      <c r="Q427" s="14" t="s">
        <v>36</v>
      </c>
      <c r="R427" s="14"/>
      <c r="S427" t="str">
        <f>IF(E427="","",IFERROR(INDEX(tblProductos[STOCK_ACTUAL],MATCH(E427,tblProductos[ITEM],0)),""))</f>
        <v/>
      </c>
    </row>
    <row r="428" spans="1:19" x14ac:dyDescent="0.3">
      <c r="A428" s="40"/>
      <c r="B428" s="14" t="str">
        <f t="shared" si="30"/>
        <v/>
      </c>
      <c r="C428" s="14" t="str">
        <f>IF(D428="","",IFERROR(INDEX(tblClientes[ID],MATCH(D428,tblClientes[NOMBRE],0)),""))</f>
        <v/>
      </c>
      <c r="D428" s="14"/>
      <c r="E428" s="14"/>
      <c r="F428" s="14" t="str">
        <f>IF(E428="","",IFERROR(INDEX(tblProductos[CATEGORIA],MATCH(E428,tblProductos[ITEM],0)),""))</f>
        <v/>
      </c>
      <c r="G428" s="15"/>
      <c r="H428" s="16"/>
      <c r="I428" s="16" t="str">
        <f>IF(E428="","",IFERROR(INDEX(tblProductos[PRECIO_VENTA],MATCH(E428,tblProductos[ITEM],0)),""))</f>
        <v/>
      </c>
      <c r="J428" s="16" t="str">
        <f t="shared" si="31"/>
        <v/>
      </c>
      <c r="K428" s="16" t="str">
        <f t="shared" si="32"/>
        <v/>
      </c>
      <c r="L428" s="16" t="str">
        <f>IF(E428="","",IFERROR(INDEX(tblProductos[COSTO TOTAL],MATCH(E428,tblProductos[ITEM],0)),""))</f>
        <v/>
      </c>
      <c r="M428" s="16" t="str">
        <f t="shared" si="33"/>
        <v/>
      </c>
      <c r="N428" s="16" t="str">
        <f t="shared" si="34"/>
        <v/>
      </c>
      <c r="O428" s="14" t="s">
        <v>34</v>
      </c>
      <c r="P428" s="14" t="s">
        <v>35</v>
      </c>
      <c r="Q428" s="14" t="s">
        <v>36</v>
      </c>
      <c r="R428" s="14"/>
      <c r="S428" t="str">
        <f>IF(E428="","",IFERROR(INDEX(tblProductos[STOCK_ACTUAL],MATCH(E428,tblProductos[ITEM],0)),""))</f>
        <v/>
      </c>
    </row>
    <row r="429" spans="1:19" x14ac:dyDescent="0.3">
      <c r="A429" s="40"/>
      <c r="B429" s="14" t="str">
        <f t="shared" si="30"/>
        <v/>
      </c>
      <c r="C429" s="14" t="str">
        <f>IF(D429="","",IFERROR(INDEX(tblClientes[ID],MATCH(D429,tblClientes[NOMBRE],0)),""))</f>
        <v/>
      </c>
      <c r="D429" s="14"/>
      <c r="E429" s="14"/>
      <c r="F429" s="14" t="str">
        <f>IF(E429="","",IFERROR(INDEX(tblProductos[CATEGORIA],MATCH(E429,tblProductos[ITEM],0)),""))</f>
        <v/>
      </c>
      <c r="G429" s="15"/>
      <c r="H429" s="16"/>
      <c r="I429" s="16" t="str">
        <f>IF(E429="","",IFERROR(INDEX(tblProductos[PRECIO_VENTA],MATCH(E429,tblProductos[ITEM],0)),""))</f>
        <v/>
      </c>
      <c r="J429" s="16" t="str">
        <f t="shared" si="31"/>
        <v/>
      </c>
      <c r="K429" s="16" t="str">
        <f t="shared" si="32"/>
        <v/>
      </c>
      <c r="L429" s="16" t="str">
        <f>IF(E429="","",IFERROR(INDEX(tblProductos[COSTO TOTAL],MATCH(E429,tblProductos[ITEM],0)),""))</f>
        <v/>
      </c>
      <c r="M429" s="16" t="str">
        <f t="shared" si="33"/>
        <v/>
      </c>
      <c r="N429" s="16" t="str">
        <f t="shared" si="34"/>
        <v/>
      </c>
      <c r="O429" s="14" t="s">
        <v>34</v>
      </c>
      <c r="P429" s="14" t="s">
        <v>35</v>
      </c>
      <c r="Q429" s="14" t="s">
        <v>36</v>
      </c>
      <c r="R429" s="14"/>
      <c r="S429" t="str">
        <f>IF(E429="","",IFERROR(INDEX(tblProductos[STOCK_ACTUAL],MATCH(E429,tblProductos[ITEM],0)),""))</f>
        <v/>
      </c>
    </row>
    <row r="430" spans="1:19" x14ac:dyDescent="0.3">
      <c r="A430" s="40"/>
      <c r="B430" s="14" t="str">
        <f t="shared" si="30"/>
        <v/>
      </c>
      <c r="C430" s="14" t="str">
        <f>IF(D430="","",IFERROR(INDEX(tblClientes[ID],MATCH(D430,tblClientes[NOMBRE],0)),""))</f>
        <v/>
      </c>
      <c r="D430" s="14"/>
      <c r="E430" s="14"/>
      <c r="F430" s="14" t="str">
        <f>IF(E430="","",IFERROR(INDEX(tblProductos[CATEGORIA],MATCH(E430,tblProductos[ITEM],0)),""))</f>
        <v/>
      </c>
      <c r="G430" s="15"/>
      <c r="H430" s="16"/>
      <c r="I430" s="16" t="str">
        <f>IF(E430="","",IFERROR(INDEX(tblProductos[PRECIO_VENTA],MATCH(E430,tblProductos[ITEM],0)),""))</f>
        <v/>
      </c>
      <c r="J430" s="16" t="str">
        <f t="shared" si="31"/>
        <v/>
      </c>
      <c r="K430" s="16" t="str">
        <f t="shared" si="32"/>
        <v/>
      </c>
      <c r="L430" s="16" t="str">
        <f>IF(E430="","",IFERROR(INDEX(tblProductos[COSTO TOTAL],MATCH(E430,tblProductos[ITEM],0)),""))</f>
        <v/>
      </c>
      <c r="M430" s="16" t="str">
        <f t="shared" si="33"/>
        <v/>
      </c>
      <c r="N430" s="16" t="str">
        <f t="shared" si="34"/>
        <v/>
      </c>
      <c r="O430" s="14" t="s">
        <v>34</v>
      </c>
      <c r="P430" s="14" t="s">
        <v>35</v>
      </c>
      <c r="Q430" s="14" t="s">
        <v>36</v>
      </c>
      <c r="R430" s="14"/>
      <c r="S430" t="str">
        <f>IF(E430="","",IFERROR(INDEX(tblProductos[STOCK_ACTUAL],MATCH(E430,tblProductos[ITEM],0)),""))</f>
        <v/>
      </c>
    </row>
    <row r="431" spans="1:19" x14ac:dyDescent="0.3">
      <c r="A431" s="40"/>
      <c r="B431" s="14" t="str">
        <f t="shared" si="30"/>
        <v/>
      </c>
      <c r="C431" s="14" t="str">
        <f>IF(D431="","",IFERROR(INDEX(tblClientes[ID],MATCH(D431,tblClientes[NOMBRE],0)),""))</f>
        <v/>
      </c>
      <c r="D431" s="14"/>
      <c r="E431" s="14"/>
      <c r="F431" s="14" t="str">
        <f>IF(E431="","",IFERROR(INDEX(tblProductos[CATEGORIA],MATCH(E431,tblProductos[ITEM],0)),""))</f>
        <v/>
      </c>
      <c r="G431" s="15"/>
      <c r="H431" s="16"/>
      <c r="I431" s="16" t="str">
        <f>IF(E431="","",IFERROR(INDEX(tblProductos[PRECIO_VENTA],MATCH(E431,tblProductos[ITEM],0)),""))</f>
        <v/>
      </c>
      <c r="J431" s="16" t="str">
        <f t="shared" si="31"/>
        <v/>
      </c>
      <c r="K431" s="16" t="str">
        <f t="shared" si="32"/>
        <v/>
      </c>
      <c r="L431" s="16" t="str">
        <f>IF(E431="","",IFERROR(INDEX(tblProductos[COSTO TOTAL],MATCH(E431,tblProductos[ITEM],0)),""))</f>
        <v/>
      </c>
      <c r="M431" s="16" t="str">
        <f t="shared" si="33"/>
        <v/>
      </c>
      <c r="N431" s="16" t="str">
        <f t="shared" si="34"/>
        <v/>
      </c>
      <c r="O431" s="14" t="s">
        <v>34</v>
      </c>
      <c r="P431" s="14" t="s">
        <v>35</v>
      </c>
      <c r="Q431" s="14" t="s">
        <v>36</v>
      </c>
      <c r="R431" s="14"/>
      <c r="S431" t="str">
        <f>IF(E431="","",IFERROR(INDEX(tblProductos[STOCK_ACTUAL],MATCH(E431,tblProductos[ITEM],0)),""))</f>
        <v/>
      </c>
    </row>
    <row r="432" spans="1:19" x14ac:dyDescent="0.3">
      <c r="A432" s="40"/>
      <c r="B432" s="14" t="str">
        <f t="shared" si="30"/>
        <v/>
      </c>
      <c r="C432" s="14" t="str">
        <f>IF(D432="","",IFERROR(INDEX(tblClientes[ID],MATCH(D432,tblClientes[NOMBRE],0)),""))</f>
        <v/>
      </c>
      <c r="D432" s="14"/>
      <c r="E432" s="14"/>
      <c r="F432" s="14" t="str">
        <f>IF(E432="","",IFERROR(INDEX(tblProductos[CATEGORIA],MATCH(E432,tblProductos[ITEM],0)),""))</f>
        <v/>
      </c>
      <c r="G432" s="15"/>
      <c r="H432" s="16"/>
      <c r="I432" s="16" t="str">
        <f>IF(E432="","",IFERROR(INDEX(tblProductos[PRECIO_VENTA],MATCH(E432,tblProductos[ITEM],0)),""))</f>
        <v/>
      </c>
      <c r="J432" s="16" t="str">
        <f t="shared" si="31"/>
        <v/>
      </c>
      <c r="K432" s="16" t="str">
        <f t="shared" si="32"/>
        <v/>
      </c>
      <c r="L432" s="16" t="str">
        <f>IF(E432="","",IFERROR(INDEX(tblProductos[COSTO TOTAL],MATCH(E432,tblProductos[ITEM],0)),""))</f>
        <v/>
      </c>
      <c r="M432" s="16" t="str">
        <f t="shared" si="33"/>
        <v/>
      </c>
      <c r="N432" s="16" t="str">
        <f t="shared" si="34"/>
        <v/>
      </c>
      <c r="O432" s="14" t="s">
        <v>34</v>
      </c>
      <c r="P432" s="14" t="s">
        <v>35</v>
      </c>
      <c r="Q432" s="14" t="s">
        <v>36</v>
      </c>
      <c r="R432" s="14"/>
      <c r="S432" t="str">
        <f>IF(E432="","",IFERROR(INDEX(tblProductos[STOCK_ACTUAL],MATCH(E432,tblProductos[ITEM],0)),""))</f>
        <v/>
      </c>
    </row>
    <row r="433" spans="1:19" x14ac:dyDescent="0.3">
      <c r="A433" s="40"/>
      <c r="B433" s="14" t="str">
        <f t="shared" si="30"/>
        <v/>
      </c>
      <c r="C433" s="14" t="str">
        <f>IF(D433="","",IFERROR(INDEX(tblClientes[ID],MATCH(D433,tblClientes[NOMBRE],0)),""))</f>
        <v/>
      </c>
      <c r="D433" s="14"/>
      <c r="E433" s="14"/>
      <c r="F433" s="14" t="str">
        <f>IF(E433="","",IFERROR(INDEX(tblProductos[CATEGORIA],MATCH(E433,tblProductos[ITEM],0)),""))</f>
        <v/>
      </c>
      <c r="G433" s="15"/>
      <c r="H433" s="16"/>
      <c r="I433" s="16" t="str">
        <f>IF(E433="","",IFERROR(INDEX(tblProductos[PRECIO_VENTA],MATCH(E433,tblProductos[ITEM],0)),""))</f>
        <v/>
      </c>
      <c r="J433" s="16" t="str">
        <f t="shared" si="31"/>
        <v/>
      </c>
      <c r="K433" s="16" t="str">
        <f t="shared" si="32"/>
        <v/>
      </c>
      <c r="L433" s="16" t="str">
        <f>IF(E433="","",IFERROR(INDEX(tblProductos[COSTO TOTAL],MATCH(E433,tblProductos[ITEM],0)),""))</f>
        <v/>
      </c>
      <c r="M433" s="16" t="str">
        <f t="shared" si="33"/>
        <v/>
      </c>
      <c r="N433" s="16" t="str">
        <f t="shared" si="34"/>
        <v/>
      </c>
      <c r="O433" s="14" t="s">
        <v>34</v>
      </c>
      <c r="P433" s="14" t="s">
        <v>35</v>
      </c>
      <c r="Q433" s="14" t="s">
        <v>36</v>
      </c>
      <c r="R433" s="14"/>
      <c r="S433" t="str">
        <f>IF(E433="","",IFERROR(INDEX(tblProductos[STOCK_ACTUAL],MATCH(E433,tblProductos[ITEM],0)),""))</f>
        <v/>
      </c>
    </row>
    <row r="434" spans="1:19" x14ac:dyDescent="0.3">
      <c r="A434" s="40"/>
      <c r="B434" s="14" t="str">
        <f t="shared" si="30"/>
        <v/>
      </c>
      <c r="C434" s="14" t="str">
        <f>IF(D434="","",IFERROR(INDEX(tblClientes[ID],MATCH(D434,tblClientes[NOMBRE],0)),""))</f>
        <v/>
      </c>
      <c r="D434" s="14"/>
      <c r="E434" s="14"/>
      <c r="F434" s="14" t="str">
        <f>IF(E434="","",IFERROR(INDEX(tblProductos[CATEGORIA],MATCH(E434,tblProductos[ITEM],0)),""))</f>
        <v/>
      </c>
      <c r="G434" s="15"/>
      <c r="H434" s="16"/>
      <c r="I434" s="16" t="str">
        <f>IF(E434="","",IFERROR(INDEX(tblProductos[PRECIO_VENTA],MATCH(E434,tblProductos[ITEM],0)),""))</f>
        <v/>
      </c>
      <c r="J434" s="16" t="str">
        <f t="shared" si="31"/>
        <v/>
      </c>
      <c r="K434" s="16" t="str">
        <f t="shared" si="32"/>
        <v/>
      </c>
      <c r="L434" s="16" t="str">
        <f>IF(E434="","",IFERROR(INDEX(tblProductos[COSTO TOTAL],MATCH(E434,tblProductos[ITEM],0)),""))</f>
        <v/>
      </c>
      <c r="M434" s="16" t="str">
        <f t="shared" si="33"/>
        <v/>
      </c>
      <c r="N434" s="16" t="str">
        <f t="shared" si="34"/>
        <v/>
      </c>
      <c r="O434" s="14" t="s">
        <v>34</v>
      </c>
      <c r="P434" s="14" t="s">
        <v>35</v>
      </c>
      <c r="Q434" s="14" t="s">
        <v>36</v>
      </c>
      <c r="R434" s="14"/>
      <c r="S434" t="str">
        <f>IF(E434="","",IFERROR(INDEX(tblProductos[STOCK_ACTUAL],MATCH(E434,tblProductos[ITEM],0)),""))</f>
        <v/>
      </c>
    </row>
    <row r="435" spans="1:19" x14ac:dyDescent="0.3">
      <c r="A435" s="40"/>
      <c r="B435" s="14" t="str">
        <f t="shared" si="30"/>
        <v/>
      </c>
      <c r="C435" s="14" t="str">
        <f>IF(D435="","",IFERROR(INDEX(tblClientes[ID],MATCH(D435,tblClientes[NOMBRE],0)),""))</f>
        <v/>
      </c>
      <c r="D435" s="14"/>
      <c r="E435" s="14"/>
      <c r="F435" s="14" t="str">
        <f>IF(E435="","",IFERROR(INDEX(tblProductos[CATEGORIA],MATCH(E435,tblProductos[ITEM],0)),""))</f>
        <v/>
      </c>
      <c r="G435" s="15"/>
      <c r="H435" s="16"/>
      <c r="I435" s="16" t="str">
        <f>IF(E435="","",IFERROR(INDEX(tblProductos[PRECIO_VENTA],MATCH(E435,tblProductos[ITEM],0)),""))</f>
        <v/>
      </c>
      <c r="J435" s="16" t="str">
        <f t="shared" si="31"/>
        <v/>
      </c>
      <c r="K435" s="16" t="str">
        <f t="shared" si="32"/>
        <v/>
      </c>
      <c r="L435" s="16" t="str">
        <f>IF(E435="","",IFERROR(INDEX(tblProductos[COSTO TOTAL],MATCH(E435,tblProductos[ITEM],0)),""))</f>
        <v/>
      </c>
      <c r="M435" s="16" t="str">
        <f t="shared" si="33"/>
        <v/>
      </c>
      <c r="N435" s="16" t="str">
        <f t="shared" si="34"/>
        <v/>
      </c>
      <c r="O435" s="14" t="s">
        <v>34</v>
      </c>
      <c r="P435" s="14" t="s">
        <v>35</v>
      </c>
      <c r="Q435" s="14" t="s">
        <v>36</v>
      </c>
      <c r="R435" s="14"/>
      <c r="S435" t="str">
        <f>IF(E435="","",IFERROR(INDEX(tblProductos[STOCK_ACTUAL],MATCH(E435,tblProductos[ITEM],0)),""))</f>
        <v/>
      </c>
    </row>
    <row r="436" spans="1:19" x14ac:dyDescent="0.3">
      <c r="A436" s="40"/>
      <c r="B436" s="14" t="str">
        <f t="shared" si="30"/>
        <v/>
      </c>
      <c r="C436" s="14" t="str">
        <f>IF(D436="","",IFERROR(INDEX(tblClientes[ID],MATCH(D436,tblClientes[NOMBRE],0)),""))</f>
        <v/>
      </c>
      <c r="D436" s="14"/>
      <c r="E436" s="14"/>
      <c r="F436" s="14" t="str">
        <f>IF(E436="","",IFERROR(INDEX(tblProductos[CATEGORIA],MATCH(E436,tblProductos[ITEM],0)),""))</f>
        <v/>
      </c>
      <c r="G436" s="15"/>
      <c r="H436" s="16"/>
      <c r="I436" s="16" t="str">
        <f>IF(E436="","",IFERROR(INDEX(tblProductos[PRECIO_VENTA],MATCH(E436,tblProductos[ITEM],0)),""))</f>
        <v/>
      </c>
      <c r="J436" s="16" t="str">
        <f t="shared" si="31"/>
        <v/>
      </c>
      <c r="K436" s="16" t="str">
        <f t="shared" si="32"/>
        <v/>
      </c>
      <c r="L436" s="16" t="str">
        <f>IF(E436="","",IFERROR(INDEX(tblProductos[COSTO TOTAL],MATCH(E436,tblProductos[ITEM],0)),""))</f>
        <v/>
      </c>
      <c r="M436" s="16" t="str">
        <f t="shared" si="33"/>
        <v/>
      </c>
      <c r="N436" s="16" t="str">
        <f t="shared" si="34"/>
        <v/>
      </c>
      <c r="O436" s="14" t="s">
        <v>34</v>
      </c>
      <c r="P436" s="14" t="s">
        <v>35</v>
      </c>
      <c r="Q436" s="14" t="s">
        <v>36</v>
      </c>
      <c r="R436" s="14"/>
      <c r="S436" t="str">
        <f>IF(E436="","",IFERROR(INDEX(tblProductos[STOCK_ACTUAL],MATCH(E436,tblProductos[ITEM],0)),""))</f>
        <v/>
      </c>
    </row>
    <row r="437" spans="1:19" x14ac:dyDescent="0.3">
      <c r="A437" s="40"/>
      <c r="B437" s="14" t="str">
        <f t="shared" si="30"/>
        <v/>
      </c>
      <c r="C437" s="14" t="str">
        <f>IF(D437="","",IFERROR(INDEX(tblClientes[ID],MATCH(D437,tblClientes[NOMBRE],0)),""))</f>
        <v/>
      </c>
      <c r="D437" s="14"/>
      <c r="E437" s="14"/>
      <c r="F437" s="14" t="str">
        <f>IF(E437="","",IFERROR(INDEX(tblProductos[CATEGORIA],MATCH(E437,tblProductos[ITEM],0)),""))</f>
        <v/>
      </c>
      <c r="G437" s="15"/>
      <c r="H437" s="16"/>
      <c r="I437" s="16" t="str">
        <f>IF(E437="","",IFERROR(INDEX(tblProductos[PRECIO_VENTA],MATCH(E437,tblProductos[ITEM],0)),""))</f>
        <v/>
      </c>
      <c r="J437" s="16" t="str">
        <f t="shared" si="31"/>
        <v/>
      </c>
      <c r="K437" s="16" t="str">
        <f t="shared" si="32"/>
        <v/>
      </c>
      <c r="L437" s="16" t="str">
        <f>IF(E437="","",IFERROR(INDEX(tblProductos[COSTO TOTAL],MATCH(E437,tblProductos[ITEM],0)),""))</f>
        <v/>
      </c>
      <c r="M437" s="16" t="str">
        <f t="shared" si="33"/>
        <v/>
      </c>
      <c r="N437" s="16" t="str">
        <f t="shared" si="34"/>
        <v/>
      </c>
      <c r="O437" s="14" t="s">
        <v>34</v>
      </c>
      <c r="P437" s="14" t="s">
        <v>35</v>
      </c>
      <c r="Q437" s="14" t="s">
        <v>36</v>
      </c>
      <c r="R437" s="14"/>
      <c r="S437" t="str">
        <f>IF(E437="","",IFERROR(INDEX(tblProductos[STOCK_ACTUAL],MATCH(E437,tblProductos[ITEM],0)),""))</f>
        <v/>
      </c>
    </row>
    <row r="438" spans="1:19" x14ac:dyDescent="0.3">
      <c r="A438" s="40"/>
      <c r="B438" s="14" t="str">
        <f t="shared" si="30"/>
        <v/>
      </c>
      <c r="C438" s="14" t="str">
        <f>IF(D438="","",IFERROR(INDEX(tblClientes[ID],MATCH(D438,tblClientes[NOMBRE],0)),""))</f>
        <v/>
      </c>
      <c r="D438" s="14"/>
      <c r="E438" s="14"/>
      <c r="F438" s="14" t="str">
        <f>IF(E438="","",IFERROR(INDEX(tblProductos[CATEGORIA],MATCH(E438,tblProductos[ITEM],0)),""))</f>
        <v/>
      </c>
      <c r="G438" s="15"/>
      <c r="H438" s="16"/>
      <c r="I438" s="16" t="str">
        <f>IF(E438="","",IFERROR(INDEX(tblProductos[PRECIO_VENTA],MATCH(E438,tblProductos[ITEM],0)),""))</f>
        <v/>
      </c>
      <c r="J438" s="16" t="str">
        <f t="shared" si="31"/>
        <v/>
      </c>
      <c r="K438" s="16" t="str">
        <f t="shared" si="32"/>
        <v/>
      </c>
      <c r="L438" s="16" t="str">
        <f>IF(E438="","",IFERROR(INDEX(tblProductos[COSTO TOTAL],MATCH(E438,tblProductos[ITEM],0)),""))</f>
        <v/>
      </c>
      <c r="M438" s="16" t="str">
        <f t="shared" si="33"/>
        <v/>
      </c>
      <c r="N438" s="16" t="str">
        <f t="shared" si="34"/>
        <v/>
      </c>
      <c r="O438" s="14" t="s">
        <v>34</v>
      </c>
      <c r="P438" s="14" t="s">
        <v>35</v>
      </c>
      <c r="Q438" s="14" t="s">
        <v>36</v>
      </c>
      <c r="R438" s="14"/>
      <c r="S438" t="str">
        <f>IF(E438="","",IFERROR(INDEX(tblProductos[STOCK_ACTUAL],MATCH(E438,tblProductos[ITEM],0)),""))</f>
        <v/>
      </c>
    </row>
    <row r="439" spans="1:19" x14ac:dyDescent="0.3">
      <c r="A439" s="40"/>
      <c r="B439" s="14" t="str">
        <f t="shared" si="30"/>
        <v/>
      </c>
      <c r="C439" s="14" t="str">
        <f>IF(D439="","",IFERROR(INDEX(tblClientes[ID],MATCH(D439,tblClientes[NOMBRE],0)),""))</f>
        <v/>
      </c>
      <c r="D439" s="14"/>
      <c r="E439" s="14"/>
      <c r="F439" s="14" t="str">
        <f>IF(E439="","",IFERROR(INDEX(tblProductos[CATEGORIA],MATCH(E439,tblProductos[ITEM],0)),""))</f>
        <v/>
      </c>
      <c r="G439" s="15"/>
      <c r="H439" s="16"/>
      <c r="I439" s="16" t="str">
        <f>IF(E439="","",IFERROR(INDEX(tblProductos[PRECIO_VENTA],MATCH(E439,tblProductos[ITEM],0)),""))</f>
        <v/>
      </c>
      <c r="J439" s="16" t="str">
        <f t="shared" si="31"/>
        <v/>
      </c>
      <c r="K439" s="16" t="str">
        <f t="shared" si="32"/>
        <v/>
      </c>
      <c r="L439" s="16" t="str">
        <f>IF(E439="","",IFERROR(INDEX(tblProductos[COSTO TOTAL],MATCH(E439,tblProductos[ITEM],0)),""))</f>
        <v/>
      </c>
      <c r="M439" s="16" t="str">
        <f t="shared" si="33"/>
        <v/>
      </c>
      <c r="N439" s="16" t="str">
        <f t="shared" si="34"/>
        <v/>
      </c>
      <c r="O439" s="14" t="s">
        <v>34</v>
      </c>
      <c r="P439" s="14" t="s">
        <v>35</v>
      </c>
      <c r="Q439" s="14" t="s">
        <v>36</v>
      </c>
      <c r="R439" s="14"/>
      <c r="S439" t="str">
        <f>IF(E439="","",IFERROR(INDEX(tblProductos[STOCK_ACTUAL],MATCH(E439,tblProductos[ITEM],0)),""))</f>
        <v/>
      </c>
    </row>
    <row r="440" spans="1:19" x14ac:dyDescent="0.3">
      <c r="A440" s="40"/>
      <c r="B440" s="14" t="str">
        <f t="shared" si="30"/>
        <v/>
      </c>
      <c r="C440" s="14" t="str">
        <f>IF(D440="","",IFERROR(INDEX(tblClientes[ID],MATCH(D440,tblClientes[NOMBRE],0)),""))</f>
        <v/>
      </c>
      <c r="D440" s="14"/>
      <c r="E440" s="14"/>
      <c r="F440" s="14" t="str">
        <f>IF(E440="","",IFERROR(INDEX(tblProductos[CATEGORIA],MATCH(E440,tblProductos[ITEM],0)),""))</f>
        <v/>
      </c>
      <c r="G440" s="15"/>
      <c r="H440" s="16"/>
      <c r="I440" s="16" t="str">
        <f>IF(E440="","",IFERROR(INDEX(tblProductos[PRECIO_VENTA],MATCH(E440,tblProductos[ITEM],0)),""))</f>
        <v/>
      </c>
      <c r="J440" s="16" t="str">
        <f t="shared" si="31"/>
        <v/>
      </c>
      <c r="K440" s="16" t="str">
        <f t="shared" si="32"/>
        <v/>
      </c>
      <c r="L440" s="16" t="str">
        <f>IF(E440="","",IFERROR(INDEX(tblProductos[COSTO TOTAL],MATCH(E440,tblProductos[ITEM],0)),""))</f>
        <v/>
      </c>
      <c r="M440" s="16" t="str">
        <f t="shared" si="33"/>
        <v/>
      </c>
      <c r="N440" s="16" t="str">
        <f t="shared" si="34"/>
        <v/>
      </c>
      <c r="O440" s="14" t="s">
        <v>34</v>
      </c>
      <c r="P440" s="14" t="s">
        <v>35</v>
      </c>
      <c r="Q440" s="14" t="s">
        <v>36</v>
      </c>
      <c r="R440" s="14"/>
      <c r="S440" t="str">
        <f>IF(E440="","",IFERROR(INDEX(tblProductos[STOCK_ACTUAL],MATCH(E440,tblProductos[ITEM],0)),""))</f>
        <v/>
      </c>
    </row>
    <row r="441" spans="1:19" x14ac:dyDescent="0.3">
      <c r="A441" s="40"/>
      <c r="B441" s="14" t="str">
        <f t="shared" si="30"/>
        <v/>
      </c>
      <c r="C441" s="14" t="str">
        <f>IF(D441="","",IFERROR(INDEX(tblClientes[ID],MATCH(D441,tblClientes[NOMBRE],0)),""))</f>
        <v/>
      </c>
      <c r="D441" s="14"/>
      <c r="E441" s="14"/>
      <c r="F441" s="14" t="str">
        <f>IF(E441="","",IFERROR(INDEX(tblProductos[CATEGORIA],MATCH(E441,tblProductos[ITEM],0)),""))</f>
        <v/>
      </c>
      <c r="G441" s="15"/>
      <c r="H441" s="16"/>
      <c r="I441" s="16" t="str">
        <f>IF(E441="","",IFERROR(INDEX(tblProductos[PRECIO_VENTA],MATCH(E441,tblProductos[ITEM],0)),""))</f>
        <v/>
      </c>
      <c r="J441" s="16" t="str">
        <f t="shared" si="31"/>
        <v/>
      </c>
      <c r="K441" s="16" t="str">
        <f t="shared" si="32"/>
        <v/>
      </c>
      <c r="L441" s="16" t="str">
        <f>IF(E441="","",IFERROR(INDEX(tblProductos[COSTO TOTAL],MATCH(E441,tblProductos[ITEM],0)),""))</f>
        <v/>
      </c>
      <c r="M441" s="16" t="str">
        <f t="shared" si="33"/>
        <v/>
      </c>
      <c r="N441" s="16" t="str">
        <f t="shared" si="34"/>
        <v/>
      </c>
      <c r="O441" s="14" t="s">
        <v>34</v>
      </c>
      <c r="P441" s="14" t="s">
        <v>35</v>
      </c>
      <c r="Q441" s="14" t="s">
        <v>36</v>
      </c>
      <c r="R441" s="14"/>
      <c r="S441" t="str">
        <f>IF(E441="","",IFERROR(INDEX(tblProductos[STOCK_ACTUAL],MATCH(E441,tblProductos[ITEM],0)),""))</f>
        <v/>
      </c>
    </row>
    <row r="442" spans="1:19" x14ac:dyDescent="0.3">
      <c r="A442" s="40"/>
      <c r="B442" s="14" t="str">
        <f t="shared" si="30"/>
        <v/>
      </c>
      <c r="C442" s="14" t="str">
        <f>IF(D442="","",IFERROR(INDEX(tblClientes[ID],MATCH(D442,tblClientes[NOMBRE],0)),""))</f>
        <v/>
      </c>
      <c r="D442" s="14"/>
      <c r="E442" s="14"/>
      <c r="F442" s="14" t="str">
        <f>IF(E442="","",IFERROR(INDEX(tblProductos[CATEGORIA],MATCH(E442,tblProductos[ITEM],0)),""))</f>
        <v/>
      </c>
      <c r="G442" s="15"/>
      <c r="H442" s="16"/>
      <c r="I442" s="16" t="str">
        <f>IF(E442="","",IFERROR(INDEX(tblProductos[PRECIO_VENTA],MATCH(E442,tblProductos[ITEM],0)),""))</f>
        <v/>
      </c>
      <c r="J442" s="16" t="str">
        <f t="shared" si="31"/>
        <v/>
      </c>
      <c r="K442" s="16" t="str">
        <f t="shared" si="32"/>
        <v/>
      </c>
      <c r="L442" s="16" t="str">
        <f>IF(E442="","",IFERROR(INDEX(tblProductos[COSTO TOTAL],MATCH(E442,tblProductos[ITEM],0)),""))</f>
        <v/>
      </c>
      <c r="M442" s="16" t="str">
        <f t="shared" si="33"/>
        <v/>
      </c>
      <c r="N442" s="16" t="str">
        <f t="shared" si="34"/>
        <v/>
      </c>
      <c r="O442" s="14" t="s">
        <v>34</v>
      </c>
      <c r="P442" s="14" t="s">
        <v>35</v>
      </c>
      <c r="Q442" s="14" t="s">
        <v>36</v>
      </c>
      <c r="R442" s="14"/>
      <c r="S442" t="str">
        <f>IF(E442="","",IFERROR(INDEX(tblProductos[STOCK_ACTUAL],MATCH(E442,tblProductos[ITEM],0)),""))</f>
        <v/>
      </c>
    </row>
    <row r="443" spans="1:19" x14ac:dyDescent="0.3">
      <c r="A443" s="40"/>
      <c r="B443" s="14" t="str">
        <f t="shared" si="30"/>
        <v/>
      </c>
      <c r="C443" s="14" t="str">
        <f>IF(D443="","",IFERROR(INDEX(tblClientes[ID],MATCH(D443,tblClientes[NOMBRE],0)),""))</f>
        <v/>
      </c>
      <c r="D443" s="14"/>
      <c r="E443" s="14"/>
      <c r="F443" s="14" t="str">
        <f>IF(E443="","",IFERROR(INDEX(tblProductos[CATEGORIA],MATCH(E443,tblProductos[ITEM],0)),""))</f>
        <v/>
      </c>
      <c r="G443" s="15"/>
      <c r="H443" s="16"/>
      <c r="I443" s="16" t="str">
        <f>IF(E443="","",IFERROR(INDEX(tblProductos[PRECIO_VENTA],MATCH(E443,tblProductos[ITEM],0)),""))</f>
        <v/>
      </c>
      <c r="J443" s="16" t="str">
        <f t="shared" si="31"/>
        <v/>
      </c>
      <c r="K443" s="16" t="str">
        <f t="shared" si="32"/>
        <v/>
      </c>
      <c r="L443" s="16" t="str">
        <f>IF(E443="","",IFERROR(INDEX(tblProductos[COSTO TOTAL],MATCH(E443,tblProductos[ITEM],0)),""))</f>
        <v/>
      </c>
      <c r="M443" s="16" t="str">
        <f t="shared" si="33"/>
        <v/>
      </c>
      <c r="N443" s="16" t="str">
        <f t="shared" si="34"/>
        <v/>
      </c>
      <c r="O443" s="14" t="s">
        <v>34</v>
      </c>
      <c r="P443" s="14" t="s">
        <v>35</v>
      </c>
      <c r="Q443" s="14" t="s">
        <v>36</v>
      </c>
      <c r="R443" s="14"/>
      <c r="S443" t="str">
        <f>IF(E443="","",IFERROR(INDEX(tblProductos[STOCK_ACTUAL],MATCH(E443,tblProductos[ITEM],0)),""))</f>
        <v/>
      </c>
    </row>
    <row r="444" spans="1:19" x14ac:dyDescent="0.3">
      <c r="A444" s="40"/>
      <c r="B444" s="14" t="str">
        <f t="shared" si="30"/>
        <v/>
      </c>
      <c r="C444" s="14" t="str">
        <f>IF(D444="","",IFERROR(INDEX(tblClientes[ID],MATCH(D444,tblClientes[NOMBRE],0)),""))</f>
        <v/>
      </c>
      <c r="D444" s="14"/>
      <c r="E444" s="14"/>
      <c r="F444" s="14" t="str">
        <f>IF(E444="","",IFERROR(INDEX(tblProductos[CATEGORIA],MATCH(E444,tblProductos[ITEM],0)),""))</f>
        <v/>
      </c>
      <c r="G444" s="15"/>
      <c r="H444" s="16"/>
      <c r="I444" s="16" t="str">
        <f>IF(E444="","",IFERROR(INDEX(tblProductos[PRECIO_VENTA],MATCH(E444,tblProductos[ITEM],0)),""))</f>
        <v/>
      </c>
      <c r="J444" s="16" t="str">
        <f t="shared" si="31"/>
        <v/>
      </c>
      <c r="K444" s="16" t="str">
        <f t="shared" si="32"/>
        <v/>
      </c>
      <c r="L444" s="16" t="str">
        <f>IF(E444="","",IFERROR(INDEX(tblProductos[COSTO TOTAL],MATCH(E444,tblProductos[ITEM],0)),""))</f>
        <v/>
      </c>
      <c r="M444" s="16" t="str">
        <f t="shared" si="33"/>
        <v/>
      </c>
      <c r="N444" s="16" t="str">
        <f t="shared" si="34"/>
        <v/>
      </c>
      <c r="O444" s="14" t="s">
        <v>34</v>
      </c>
      <c r="P444" s="14" t="s">
        <v>35</v>
      </c>
      <c r="Q444" s="14" t="s">
        <v>36</v>
      </c>
      <c r="R444" s="14"/>
      <c r="S444" t="str">
        <f>IF(E444="","",IFERROR(INDEX(tblProductos[STOCK_ACTUAL],MATCH(E444,tblProductos[ITEM],0)),""))</f>
        <v/>
      </c>
    </row>
    <row r="445" spans="1:19" x14ac:dyDescent="0.3">
      <c r="A445" s="40"/>
      <c r="B445" s="14" t="str">
        <f t="shared" si="30"/>
        <v/>
      </c>
      <c r="C445" s="14" t="str">
        <f>IF(D445="","",IFERROR(INDEX(tblClientes[ID],MATCH(D445,tblClientes[NOMBRE],0)),""))</f>
        <v/>
      </c>
      <c r="D445" s="14"/>
      <c r="E445" s="14"/>
      <c r="F445" s="14" t="str">
        <f>IF(E445="","",IFERROR(INDEX(tblProductos[CATEGORIA],MATCH(E445,tblProductos[ITEM],0)),""))</f>
        <v/>
      </c>
      <c r="G445" s="15"/>
      <c r="H445" s="16"/>
      <c r="I445" s="16" t="str">
        <f>IF(E445="","",IFERROR(INDEX(tblProductos[PRECIO_VENTA],MATCH(E445,tblProductos[ITEM],0)),""))</f>
        <v/>
      </c>
      <c r="J445" s="16" t="str">
        <f t="shared" si="31"/>
        <v/>
      </c>
      <c r="K445" s="16" t="str">
        <f t="shared" si="32"/>
        <v/>
      </c>
      <c r="L445" s="16" t="str">
        <f>IF(E445="","",IFERROR(INDEX(tblProductos[COSTO TOTAL],MATCH(E445,tblProductos[ITEM],0)),""))</f>
        <v/>
      </c>
      <c r="M445" s="16" t="str">
        <f t="shared" si="33"/>
        <v/>
      </c>
      <c r="N445" s="16" t="str">
        <f t="shared" si="34"/>
        <v/>
      </c>
      <c r="O445" s="14" t="s">
        <v>34</v>
      </c>
      <c r="P445" s="14" t="s">
        <v>35</v>
      </c>
      <c r="Q445" s="14" t="s">
        <v>36</v>
      </c>
      <c r="R445" s="14"/>
      <c r="S445" t="str">
        <f>IF(E445="","",IFERROR(INDEX(tblProductos[STOCK_ACTUAL],MATCH(E445,tblProductos[ITEM],0)),""))</f>
        <v/>
      </c>
    </row>
    <row r="446" spans="1:19" x14ac:dyDescent="0.3">
      <c r="A446" s="40"/>
      <c r="B446" s="14" t="str">
        <f t="shared" si="30"/>
        <v/>
      </c>
      <c r="C446" s="14" t="str">
        <f>IF(D446="","",IFERROR(INDEX(tblClientes[ID],MATCH(D446,tblClientes[NOMBRE],0)),""))</f>
        <v/>
      </c>
      <c r="D446" s="14"/>
      <c r="E446" s="14"/>
      <c r="F446" s="14" t="str">
        <f>IF(E446="","",IFERROR(INDEX(tblProductos[CATEGORIA],MATCH(E446,tblProductos[ITEM],0)),""))</f>
        <v/>
      </c>
      <c r="G446" s="15"/>
      <c r="H446" s="16"/>
      <c r="I446" s="16" t="str">
        <f>IF(E446="","",IFERROR(INDEX(tblProductos[PRECIO_VENTA],MATCH(E446,tblProductos[ITEM],0)),""))</f>
        <v/>
      </c>
      <c r="J446" s="16" t="str">
        <f t="shared" si="31"/>
        <v/>
      </c>
      <c r="K446" s="16" t="str">
        <f t="shared" si="32"/>
        <v/>
      </c>
      <c r="L446" s="16" t="str">
        <f>IF(E446="","",IFERROR(INDEX(tblProductos[COSTO TOTAL],MATCH(E446,tblProductos[ITEM],0)),""))</f>
        <v/>
      </c>
      <c r="M446" s="16" t="str">
        <f t="shared" si="33"/>
        <v/>
      </c>
      <c r="N446" s="16" t="str">
        <f t="shared" si="34"/>
        <v/>
      </c>
      <c r="O446" s="14" t="s">
        <v>34</v>
      </c>
      <c r="P446" s="14" t="s">
        <v>35</v>
      </c>
      <c r="Q446" s="14" t="s">
        <v>36</v>
      </c>
      <c r="R446" s="14"/>
      <c r="S446" t="str">
        <f>IF(E446="","",IFERROR(INDEX(tblProductos[STOCK_ACTUAL],MATCH(E446,tblProductos[ITEM],0)),""))</f>
        <v/>
      </c>
    </row>
    <row r="447" spans="1:19" x14ac:dyDescent="0.3">
      <c r="A447" s="40"/>
      <c r="B447" s="14" t="str">
        <f t="shared" si="30"/>
        <v/>
      </c>
      <c r="C447" s="14" t="str">
        <f>IF(D447="","",IFERROR(INDEX(tblClientes[ID],MATCH(D447,tblClientes[NOMBRE],0)),""))</f>
        <v/>
      </c>
      <c r="D447" s="14"/>
      <c r="E447" s="14"/>
      <c r="F447" s="14" t="str">
        <f>IF(E447="","",IFERROR(INDEX(tblProductos[CATEGORIA],MATCH(E447,tblProductos[ITEM],0)),""))</f>
        <v/>
      </c>
      <c r="G447" s="15"/>
      <c r="H447" s="16"/>
      <c r="I447" s="16" t="str">
        <f>IF(E447="","",IFERROR(INDEX(tblProductos[PRECIO_VENTA],MATCH(E447,tblProductos[ITEM],0)),""))</f>
        <v/>
      </c>
      <c r="J447" s="16" t="str">
        <f t="shared" si="31"/>
        <v/>
      </c>
      <c r="K447" s="16" t="str">
        <f t="shared" si="32"/>
        <v/>
      </c>
      <c r="L447" s="16" t="str">
        <f>IF(E447="","",IFERROR(INDEX(tblProductos[COSTO TOTAL],MATCH(E447,tblProductos[ITEM],0)),""))</f>
        <v/>
      </c>
      <c r="M447" s="16" t="str">
        <f t="shared" si="33"/>
        <v/>
      </c>
      <c r="N447" s="16" t="str">
        <f t="shared" si="34"/>
        <v/>
      </c>
      <c r="O447" s="14" t="s">
        <v>34</v>
      </c>
      <c r="P447" s="14" t="s">
        <v>35</v>
      </c>
      <c r="Q447" s="14" t="s">
        <v>36</v>
      </c>
      <c r="R447" s="14"/>
      <c r="S447" t="str">
        <f>IF(E447="","",IFERROR(INDEX(tblProductos[STOCK_ACTUAL],MATCH(E447,tblProductos[ITEM],0)),""))</f>
        <v/>
      </c>
    </row>
    <row r="448" spans="1:19" x14ac:dyDescent="0.3">
      <c r="A448" s="40"/>
      <c r="B448" s="14" t="str">
        <f t="shared" si="30"/>
        <v/>
      </c>
      <c r="C448" s="14" t="str">
        <f>IF(D448="","",IFERROR(INDEX(tblClientes[ID],MATCH(D448,tblClientes[NOMBRE],0)),""))</f>
        <v/>
      </c>
      <c r="D448" s="14"/>
      <c r="E448" s="14"/>
      <c r="F448" s="14" t="str">
        <f>IF(E448="","",IFERROR(INDEX(tblProductos[CATEGORIA],MATCH(E448,tblProductos[ITEM],0)),""))</f>
        <v/>
      </c>
      <c r="G448" s="15"/>
      <c r="H448" s="16"/>
      <c r="I448" s="16" t="str">
        <f>IF(E448="","",IFERROR(INDEX(tblProductos[PRECIO_VENTA],MATCH(E448,tblProductos[ITEM],0)),""))</f>
        <v/>
      </c>
      <c r="J448" s="16" t="str">
        <f t="shared" si="31"/>
        <v/>
      </c>
      <c r="K448" s="16" t="str">
        <f t="shared" si="32"/>
        <v/>
      </c>
      <c r="L448" s="16" t="str">
        <f>IF(E448="","",IFERROR(INDEX(tblProductos[COSTO TOTAL],MATCH(E448,tblProductos[ITEM],0)),""))</f>
        <v/>
      </c>
      <c r="M448" s="16" t="str">
        <f t="shared" si="33"/>
        <v/>
      </c>
      <c r="N448" s="16" t="str">
        <f t="shared" si="34"/>
        <v/>
      </c>
      <c r="O448" s="14" t="s">
        <v>34</v>
      </c>
      <c r="P448" s="14" t="s">
        <v>35</v>
      </c>
      <c r="Q448" s="14" t="s">
        <v>36</v>
      </c>
      <c r="R448" s="14"/>
      <c r="S448" t="str">
        <f>IF(E448="","",IFERROR(INDEX(tblProductos[STOCK_ACTUAL],MATCH(E448,tblProductos[ITEM],0)),""))</f>
        <v/>
      </c>
    </row>
    <row r="449" spans="1:19" x14ac:dyDescent="0.3">
      <c r="A449" s="40"/>
      <c r="B449" s="14" t="str">
        <f t="shared" si="30"/>
        <v/>
      </c>
      <c r="C449" s="14" t="str">
        <f>IF(D449="","",IFERROR(INDEX(tblClientes[ID],MATCH(D449,tblClientes[NOMBRE],0)),""))</f>
        <v/>
      </c>
      <c r="D449" s="14"/>
      <c r="E449" s="14"/>
      <c r="F449" s="14" t="str">
        <f>IF(E449="","",IFERROR(INDEX(tblProductos[CATEGORIA],MATCH(E449,tblProductos[ITEM],0)),""))</f>
        <v/>
      </c>
      <c r="G449" s="15"/>
      <c r="H449" s="16"/>
      <c r="I449" s="16" t="str">
        <f>IF(E449="","",IFERROR(INDEX(tblProductos[PRECIO_VENTA],MATCH(E449,tblProductos[ITEM],0)),""))</f>
        <v/>
      </c>
      <c r="J449" s="16" t="str">
        <f t="shared" si="31"/>
        <v/>
      </c>
      <c r="K449" s="16" t="str">
        <f t="shared" si="32"/>
        <v/>
      </c>
      <c r="L449" s="16" t="str">
        <f>IF(E449="","",IFERROR(INDEX(tblProductos[COSTO TOTAL],MATCH(E449,tblProductos[ITEM],0)),""))</f>
        <v/>
      </c>
      <c r="M449" s="16" t="str">
        <f t="shared" si="33"/>
        <v/>
      </c>
      <c r="N449" s="16" t="str">
        <f t="shared" si="34"/>
        <v/>
      </c>
      <c r="O449" s="14" t="s">
        <v>34</v>
      </c>
      <c r="P449" s="14" t="s">
        <v>35</v>
      </c>
      <c r="Q449" s="14" t="s">
        <v>36</v>
      </c>
      <c r="R449" s="14"/>
      <c r="S449" t="str">
        <f>IF(E449="","",IFERROR(INDEX(tblProductos[STOCK_ACTUAL],MATCH(E449,tblProductos[ITEM],0)),""))</f>
        <v/>
      </c>
    </row>
    <row r="450" spans="1:19" x14ac:dyDescent="0.3">
      <c r="A450" s="40"/>
      <c r="B450" s="14" t="str">
        <f t="shared" ref="B450:B501" si="35">IF(A450="","", "V"&amp;TEXT(A450,"yymmdd")&amp;"-"&amp;TEXT(ROW()-1,"0000"))</f>
        <v/>
      </c>
      <c r="C450" s="14" t="str">
        <f>IF(D450="","",IFERROR(INDEX(tblClientes[ID],MATCH(D450,tblClientes[NOMBRE],0)),""))</f>
        <v/>
      </c>
      <c r="D450" s="14"/>
      <c r="E450" s="14"/>
      <c r="F450" s="14" t="str">
        <f>IF(E450="","",IFERROR(INDEX(tblProductos[CATEGORIA],MATCH(E450,tblProductos[ITEM],0)),""))</f>
        <v/>
      </c>
      <c r="G450" s="15"/>
      <c r="H450" s="16"/>
      <c r="I450" s="16" t="str">
        <f>IF(E450="","",IFERROR(INDEX(tblProductos[PRECIO_VENTA],MATCH(E450,tblProductos[ITEM],0)),""))</f>
        <v/>
      </c>
      <c r="J450" s="16" t="str">
        <f t="shared" ref="J450:J501" si="36">IF(H450="",I450,H450)</f>
        <v/>
      </c>
      <c r="K450" s="16" t="str">
        <f t="shared" ref="K450:K501" si="37">IF(G450="","",G450*J450)</f>
        <v/>
      </c>
      <c r="L450" s="16" t="str">
        <f>IF(E450="","",IFERROR(INDEX(tblProductos[COSTO TOTAL],MATCH(E450,tblProductos[ITEM],0)),""))</f>
        <v/>
      </c>
      <c r="M450" s="16" t="str">
        <f t="shared" ref="M450:M501" si="38">IF(G450="","",G450*L450)</f>
        <v/>
      </c>
      <c r="N450" s="16" t="str">
        <f t="shared" ref="N450:N501" si="39">IF(K450="","",K450-M450)</f>
        <v/>
      </c>
      <c r="O450" s="14" t="s">
        <v>34</v>
      </c>
      <c r="P450" s="14" t="s">
        <v>35</v>
      </c>
      <c r="Q450" s="14" t="s">
        <v>36</v>
      </c>
      <c r="R450" s="14"/>
      <c r="S450" t="str">
        <f>IF(E450="","",IFERROR(INDEX(tblProductos[STOCK_ACTUAL],MATCH(E450,tblProductos[ITEM],0)),""))</f>
        <v/>
      </c>
    </row>
    <row r="451" spans="1:19" x14ac:dyDescent="0.3">
      <c r="A451" s="40"/>
      <c r="B451" s="14" t="str">
        <f t="shared" si="35"/>
        <v/>
      </c>
      <c r="C451" s="14" t="str">
        <f>IF(D451="","",IFERROR(INDEX(tblClientes[ID],MATCH(D451,tblClientes[NOMBRE],0)),""))</f>
        <v/>
      </c>
      <c r="D451" s="14"/>
      <c r="E451" s="14"/>
      <c r="F451" s="14" t="str">
        <f>IF(E451="","",IFERROR(INDEX(tblProductos[CATEGORIA],MATCH(E451,tblProductos[ITEM],0)),""))</f>
        <v/>
      </c>
      <c r="G451" s="15"/>
      <c r="H451" s="16"/>
      <c r="I451" s="16" t="str">
        <f>IF(E451="","",IFERROR(INDEX(tblProductos[PRECIO_VENTA],MATCH(E451,tblProductos[ITEM],0)),""))</f>
        <v/>
      </c>
      <c r="J451" s="16" t="str">
        <f t="shared" si="36"/>
        <v/>
      </c>
      <c r="K451" s="16" t="str">
        <f t="shared" si="37"/>
        <v/>
      </c>
      <c r="L451" s="16" t="str">
        <f>IF(E451="","",IFERROR(INDEX(tblProductos[COSTO TOTAL],MATCH(E451,tblProductos[ITEM],0)),""))</f>
        <v/>
      </c>
      <c r="M451" s="16" t="str">
        <f t="shared" si="38"/>
        <v/>
      </c>
      <c r="N451" s="16" t="str">
        <f t="shared" si="39"/>
        <v/>
      </c>
      <c r="O451" s="14" t="s">
        <v>34</v>
      </c>
      <c r="P451" s="14" t="s">
        <v>35</v>
      </c>
      <c r="Q451" s="14" t="s">
        <v>36</v>
      </c>
      <c r="R451" s="14"/>
      <c r="S451" t="str">
        <f>IF(E451="","",IFERROR(INDEX(tblProductos[STOCK_ACTUAL],MATCH(E451,tblProductos[ITEM],0)),""))</f>
        <v/>
      </c>
    </row>
    <row r="452" spans="1:19" x14ac:dyDescent="0.3">
      <c r="A452" s="40"/>
      <c r="B452" s="14" t="str">
        <f t="shared" si="35"/>
        <v/>
      </c>
      <c r="C452" s="14" t="str">
        <f>IF(D452="","",IFERROR(INDEX(tblClientes[ID],MATCH(D452,tblClientes[NOMBRE],0)),""))</f>
        <v/>
      </c>
      <c r="D452" s="14"/>
      <c r="E452" s="14"/>
      <c r="F452" s="14" t="str">
        <f>IF(E452="","",IFERROR(INDEX(tblProductos[CATEGORIA],MATCH(E452,tblProductos[ITEM],0)),""))</f>
        <v/>
      </c>
      <c r="G452" s="15"/>
      <c r="H452" s="16"/>
      <c r="I452" s="16" t="str">
        <f>IF(E452="","",IFERROR(INDEX(tblProductos[PRECIO_VENTA],MATCH(E452,tblProductos[ITEM],0)),""))</f>
        <v/>
      </c>
      <c r="J452" s="16" t="str">
        <f t="shared" si="36"/>
        <v/>
      </c>
      <c r="K452" s="16" t="str">
        <f t="shared" si="37"/>
        <v/>
      </c>
      <c r="L452" s="16" t="str">
        <f>IF(E452="","",IFERROR(INDEX(tblProductos[COSTO TOTAL],MATCH(E452,tblProductos[ITEM],0)),""))</f>
        <v/>
      </c>
      <c r="M452" s="16" t="str">
        <f t="shared" si="38"/>
        <v/>
      </c>
      <c r="N452" s="16" t="str">
        <f t="shared" si="39"/>
        <v/>
      </c>
      <c r="O452" s="14" t="s">
        <v>34</v>
      </c>
      <c r="P452" s="14" t="s">
        <v>35</v>
      </c>
      <c r="Q452" s="14" t="s">
        <v>36</v>
      </c>
      <c r="R452" s="14"/>
      <c r="S452" t="str">
        <f>IF(E452="","",IFERROR(INDEX(tblProductos[STOCK_ACTUAL],MATCH(E452,tblProductos[ITEM],0)),""))</f>
        <v/>
      </c>
    </row>
    <row r="453" spans="1:19" x14ac:dyDescent="0.3">
      <c r="A453" s="40"/>
      <c r="B453" s="14" t="str">
        <f t="shared" si="35"/>
        <v/>
      </c>
      <c r="C453" s="14" t="str">
        <f>IF(D453="","",IFERROR(INDEX(tblClientes[ID],MATCH(D453,tblClientes[NOMBRE],0)),""))</f>
        <v/>
      </c>
      <c r="D453" s="14"/>
      <c r="E453" s="14"/>
      <c r="F453" s="14" t="str">
        <f>IF(E453="","",IFERROR(INDEX(tblProductos[CATEGORIA],MATCH(E453,tblProductos[ITEM],0)),""))</f>
        <v/>
      </c>
      <c r="G453" s="15"/>
      <c r="H453" s="16"/>
      <c r="I453" s="16" t="str">
        <f>IF(E453="","",IFERROR(INDEX(tblProductos[PRECIO_VENTA],MATCH(E453,tblProductos[ITEM],0)),""))</f>
        <v/>
      </c>
      <c r="J453" s="16" t="str">
        <f t="shared" si="36"/>
        <v/>
      </c>
      <c r="K453" s="16" t="str">
        <f t="shared" si="37"/>
        <v/>
      </c>
      <c r="L453" s="16" t="str">
        <f>IF(E453="","",IFERROR(INDEX(tblProductos[COSTO TOTAL],MATCH(E453,tblProductos[ITEM],0)),""))</f>
        <v/>
      </c>
      <c r="M453" s="16" t="str">
        <f t="shared" si="38"/>
        <v/>
      </c>
      <c r="N453" s="16" t="str">
        <f t="shared" si="39"/>
        <v/>
      </c>
      <c r="O453" s="14" t="s">
        <v>34</v>
      </c>
      <c r="P453" s="14" t="s">
        <v>35</v>
      </c>
      <c r="Q453" s="14" t="s">
        <v>36</v>
      </c>
      <c r="R453" s="14"/>
      <c r="S453" t="str">
        <f>IF(E453="","",IFERROR(INDEX(tblProductos[STOCK_ACTUAL],MATCH(E453,tblProductos[ITEM],0)),""))</f>
        <v/>
      </c>
    </row>
    <row r="454" spans="1:19" x14ac:dyDescent="0.3">
      <c r="A454" s="40"/>
      <c r="B454" s="14" t="str">
        <f t="shared" si="35"/>
        <v/>
      </c>
      <c r="C454" s="14" t="str">
        <f>IF(D454="","",IFERROR(INDEX(tblClientes[ID],MATCH(D454,tblClientes[NOMBRE],0)),""))</f>
        <v/>
      </c>
      <c r="D454" s="14"/>
      <c r="E454" s="14"/>
      <c r="F454" s="14" t="str">
        <f>IF(E454="","",IFERROR(INDEX(tblProductos[CATEGORIA],MATCH(E454,tblProductos[ITEM],0)),""))</f>
        <v/>
      </c>
      <c r="G454" s="15"/>
      <c r="H454" s="16"/>
      <c r="I454" s="16" t="str">
        <f>IF(E454="","",IFERROR(INDEX(tblProductos[PRECIO_VENTA],MATCH(E454,tblProductos[ITEM],0)),""))</f>
        <v/>
      </c>
      <c r="J454" s="16" t="str">
        <f t="shared" si="36"/>
        <v/>
      </c>
      <c r="K454" s="16" t="str">
        <f t="shared" si="37"/>
        <v/>
      </c>
      <c r="L454" s="16" t="str">
        <f>IF(E454="","",IFERROR(INDEX(tblProductos[COSTO TOTAL],MATCH(E454,tblProductos[ITEM],0)),""))</f>
        <v/>
      </c>
      <c r="M454" s="16" t="str">
        <f t="shared" si="38"/>
        <v/>
      </c>
      <c r="N454" s="16" t="str">
        <f t="shared" si="39"/>
        <v/>
      </c>
      <c r="O454" s="14" t="s">
        <v>34</v>
      </c>
      <c r="P454" s="14" t="s">
        <v>35</v>
      </c>
      <c r="Q454" s="14" t="s">
        <v>36</v>
      </c>
      <c r="R454" s="14"/>
      <c r="S454" t="str">
        <f>IF(E454="","",IFERROR(INDEX(tblProductos[STOCK_ACTUAL],MATCH(E454,tblProductos[ITEM],0)),""))</f>
        <v/>
      </c>
    </row>
    <row r="455" spans="1:19" x14ac:dyDescent="0.3">
      <c r="A455" s="40"/>
      <c r="B455" s="14" t="str">
        <f t="shared" si="35"/>
        <v/>
      </c>
      <c r="C455" s="14" t="str">
        <f>IF(D455="","",IFERROR(INDEX(tblClientes[ID],MATCH(D455,tblClientes[NOMBRE],0)),""))</f>
        <v/>
      </c>
      <c r="D455" s="14"/>
      <c r="E455" s="14"/>
      <c r="F455" s="14" t="str">
        <f>IF(E455="","",IFERROR(INDEX(tblProductos[CATEGORIA],MATCH(E455,tblProductos[ITEM],0)),""))</f>
        <v/>
      </c>
      <c r="G455" s="15"/>
      <c r="H455" s="16"/>
      <c r="I455" s="16" t="str">
        <f>IF(E455="","",IFERROR(INDEX(tblProductos[PRECIO_VENTA],MATCH(E455,tblProductos[ITEM],0)),""))</f>
        <v/>
      </c>
      <c r="J455" s="16" t="str">
        <f t="shared" si="36"/>
        <v/>
      </c>
      <c r="K455" s="16" t="str">
        <f t="shared" si="37"/>
        <v/>
      </c>
      <c r="L455" s="16" t="str">
        <f>IF(E455="","",IFERROR(INDEX(tblProductos[COSTO TOTAL],MATCH(E455,tblProductos[ITEM],0)),""))</f>
        <v/>
      </c>
      <c r="M455" s="16" t="str">
        <f t="shared" si="38"/>
        <v/>
      </c>
      <c r="N455" s="16" t="str">
        <f t="shared" si="39"/>
        <v/>
      </c>
      <c r="O455" s="14" t="s">
        <v>34</v>
      </c>
      <c r="P455" s="14" t="s">
        <v>35</v>
      </c>
      <c r="Q455" s="14" t="s">
        <v>36</v>
      </c>
      <c r="R455" s="14"/>
      <c r="S455" t="str">
        <f>IF(E455="","",IFERROR(INDEX(tblProductos[STOCK_ACTUAL],MATCH(E455,tblProductos[ITEM],0)),""))</f>
        <v/>
      </c>
    </row>
    <row r="456" spans="1:19" x14ac:dyDescent="0.3">
      <c r="A456" s="40"/>
      <c r="B456" s="14" t="str">
        <f t="shared" si="35"/>
        <v/>
      </c>
      <c r="C456" s="14" t="str">
        <f>IF(D456="","",IFERROR(INDEX(tblClientes[ID],MATCH(D456,tblClientes[NOMBRE],0)),""))</f>
        <v/>
      </c>
      <c r="D456" s="14"/>
      <c r="E456" s="14"/>
      <c r="F456" s="14" t="str">
        <f>IF(E456="","",IFERROR(INDEX(tblProductos[CATEGORIA],MATCH(E456,tblProductos[ITEM],0)),""))</f>
        <v/>
      </c>
      <c r="G456" s="15"/>
      <c r="H456" s="16"/>
      <c r="I456" s="16" t="str">
        <f>IF(E456="","",IFERROR(INDEX(tblProductos[PRECIO_VENTA],MATCH(E456,tblProductos[ITEM],0)),""))</f>
        <v/>
      </c>
      <c r="J456" s="16" t="str">
        <f t="shared" si="36"/>
        <v/>
      </c>
      <c r="K456" s="16" t="str">
        <f t="shared" si="37"/>
        <v/>
      </c>
      <c r="L456" s="16" t="str">
        <f>IF(E456="","",IFERROR(INDEX(tblProductos[COSTO TOTAL],MATCH(E456,tblProductos[ITEM],0)),""))</f>
        <v/>
      </c>
      <c r="M456" s="16" t="str">
        <f t="shared" si="38"/>
        <v/>
      </c>
      <c r="N456" s="16" t="str">
        <f t="shared" si="39"/>
        <v/>
      </c>
      <c r="O456" s="14" t="s">
        <v>34</v>
      </c>
      <c r="P456" s="14" t="s">
        <v>35</v>
      </c>
      <c r="Q456" s="14" t="s">
        <v>36</v>
      </c>
      <c r="R456" s="14"/>
      <c r="S456" t="str">
        <f>IF(E456="","",IFERROR(INDEX(tblProductos[STOCK_ACTUAL],MATCH(E456,tblProductos[ITEM],0)),""))</f>
        <v/>
      </c>
    </row>
    <row r="457" spans="1:19" x14ac:dyDescent="0.3">
      <c r="A457" s="40"/>
      <c r="B457" s="14" t="str">
        <f t="shared" si="35"/>
        <v/>
      </c>
      <c r="C457" s="14" t="str">
        <f>IF(D457="","",IFERROR(INDEX(tblClientes[ID],MATCH(D457,tblClientes[NOMBRE],0)),""))</f>
        <v/>
      </c>
      <c r="D457" s="14"/>
      <c r="E457" s="14"/>
      <c r="F457" s="14" t="str">
        <f>IF(E457="","",IFERROR(INDEX(tblProductos[CATEGORIA],MATCH(E457,tblProductos[ITEM],0)),""))</f>
        <v/>
      </c>
      <c r="G457" s="15"/>
      <c r="H457" s="16"/>
      <c r="I457" s="16" t="str">
        <f>IF(E457="","",IFERROR(INDEX(tblProductos[PRECIO_VENTA],MATCH(E457,tblProductos[ITEM],0)),""))</f>
        <v/>
      </c>
      <c r="J457" s="16" t="str">
        <f t="shared" si="36"/>
        <v/>
      </c>
      <c r="K457" s="16" t="str">
        <f t="shared" si="37"/>
        <v/>
      </c>
      <c r="L457" s="16" t="str">
        <f>IF(E457="","",IFERROR(INDEX(tblProductos[COSTO TOTAL],MATCH(E457,tblProductos[ITEM],0)),""))</f>
        <v/>
      </c>
      <c r="M457" s="16" t="str">
        <f t="shared" si="38"/>
        <v/>
      </c>
      <c r="N457" s="16" t="str">
        <f t="shared" si="39"/>
        <v/>
      </c>
      <c r="O457" s="14" t="s">
        <v>34</v>
      </c>
      <c r="P457" s="14" t="s">
        <v>35</v>
      </c>
      <c r="Q457" s="14" t="s">
        <v>36</v>
      </c>
      <c r="R457" s="14"/>
      <c r="S457" t="str">
        <f>IF(E457="","",IFERROR(INDEX(tblProductos[STOCK_ACTUAL],MATCH(E457,tblProductos[ITEM],0)),""))</f>
        <v/>
      </c>
    </row>
    <row r="458" spans="1:19" x14ac:dyDescent="0.3">
      <c r="A458" s="40"/>
      <c r="B458" s="14" t="str">
        <f t="shared" si="35"/>
        <v/>
      </c>
      <c r="C458" s="14" t="str">
        <f>IF(D458="","",IFERROR(INDEX(tblClientes[ID],MATCH(D458,tblClientes[NOMBRE],0)),""))</f>
        <v/>
      </c>
      <c r="D458" s="14"/>
      <c r="E458" s="14"/>
      <c r="F458" s="14" t="str">
        <f>IF(E458="","",IFERROR(INDEX(tblProductos[CATEGORIA],MATCH(E458,tblProductos[ITEM],0)),""))</f>
        <v/>
      </c>
      <c r="G458" s="15"/>
      <c r="H458" s="16"/>
      <c r="I458" s="16" t="str">
        <f>IF(E458="","",IFERROR(INDEX(tblProductos[PRECIO_VENTA],MATCH(E458,tblProductos[ITEM],0)),""))</f>
        <v/>
      </c>
      <c r="J458" s="16" t="str">
        <f t="shared" si="36"/>
        <v/>
      </c>
      <c r="K458" s="16" t="str">
        <f t="shared" si="37"/>
        <v/>
      </c>
      <c r="L458" s="16" t="str">
        <f>IF(E458="","",IFERROR(INDEX(tblProductos[COSTO TOTAL],MATCH(E458,tblProductos[ITEM],0)),""))</f>
        <v/>
      </c>
      <c r="M458" s="16" t="str">
        <f t="shared" si="38"/>
        <v/>
      </c>
      <c r="N458" s="16" t="str">
        <f t="shared" si="39"/>
        <v/>
      </c>
      <c r="O458" s="14" t="s">
        <v>34</v>
      </c>
      <c r="P458" s="14" t="s">
        <v>35</v>
      </c>
      <c r="Q458" s="14" t="s">
        <v>36</v>
      </c>
      <c r="R458" s="14"/>
      <c r="S458" t="str">
        <f>IF(E458="","",IFERROR(INDEX(tblProductos[STOCK_ACTUAL],MATCH(E458,tblProductos[ITEM],0)),""))</f>
        <v/>
      </c>
    </row>
    <row r="459" spans="1:19" x14ac:dyDescent="0.3">
      <c r="A459" s="40"/>
      <c r="B459" s="14" t="str">
        <f t="shared" si="35"/>
        <v/>
      </c>
      <c r="C459" s="14" t="str">
        <f>IF(D459="","",IFERROR(INDEX(tblClientes[ID],MATCH(D459,tblClientes[NOMBRE],0)),""))</f>
        <v/>
      </c>
      <c r="D459" s="14"/>
      <c r="E459" s="14"/>
      <c r="F459" s="14" t="str">
        <f>IF(E459="","",IFERROR(INDEX(tblProductos[CATEGORIA],MATCH(E459,tblProductos[ITEM],0)),""))</f>
        <v/>
      </c>
      <c r="G459" s="15"/>
      <c r="H459" s="16"/>
      <c r="I459" s="16" t="str">
        <f>IF(E459="","",IFERROR(INDEX(tblProductos[PRECIO_VENTA],MATCH(E459,tblProductos[ITEM],0)),""))</f>
        <v/>
      </c>
      <c r="J459" s="16" t="str">
        <f t="shared" si="36"/>
        <v/>
      </c>
      <c r="K459" s="16" t="str">
        <f t="shared" si="37"/>
        <v/>
      </c>
      <c r="L459" s="16" t="str">
        <f>IF(E459="","",IFERROR(INDEX(tblProductos[COSTO TOTAL],MATCH(E459,tblProductos[ITEM],0)),""))</f>
        <v/>
      </c>
      <c r="M459" s="16" t="str">
        <f t="shared" si="38"/>
        <v/>
      </c>
      <c r="N459" s="16" t="str">
        <f t="shared" si="39"/>
        <v/>
      </c>
      <c r="O459" s="14" t="s">
        <v>34</v>
      </c>
      <c r="P459" s="14" t="s">
        <v>35</v>
      </c>
      <c r="Q459" s="14" t="s">
        <v>36</v>
      </c>
      <c r="R459" s="14"/>
      <c r="S459" t="str">
        <f>IF(E459="","",IFERROR(INDEX(tblProductos[STOCK_ACTUAL],MATCH(E459,tblProductos[ITEM],0)),""))</f>
        <v/>
      </c>
    </row>
    <row r="460" spans="1:19" x14ac:dyDescent="0.3">
      <c r="A460" s="40"/>
      <c r="B460" s="14" t="str">
        <f t="shared" si="35"/>
        <v/>
      </c>
      <c r="C460" s="14" t="str">
        <f>IF(D460="","",IFERROR(INDEX(tblClientes[ID],MATCH(D460,tblClientes[NOMBRE],0)),""))</f>
        <v/>
      </c>
      <c r="D460" s="14"/>
      <c r="E460" s="14"/>
      <c r="F460" s="14" t="str">
        <f>IF(E460="","",IFERROR(INDEX(tblProductos[CATEGORIA],MATCH(E460,tblProductos[ITEM],0)),""))</f>
        <v/>
      </c>
      <c r="G460" s="15"/>
      <c r="H460" s="16"/>
      <c r="I460" s="16" t="str">
        <f>IF(E460="","",IFERROR(INDEX(tblProductos[PRECIO_VENTA],MATCH(E460,tblProductos[ITEM],0)),""))</f>
        <v/>
      </c>
      <c r="J460" s="16" t="str">
        <f t="shared" si="36"/>
        <v/>
      </c>
      <c r="K460" s="16" t="str">
        <f t="shared" si="37"/>
        <v/>
      </c>
      <c r="L460" s="16" t="str">
        <f>IF(E460="","",IFERROR(INDEX(tblProductos[COSTO TOTAL],MATCH(E460,tblProductos[ITEM],0)),""))</f>
        <v/>
      </c>
      <c r="M460" s="16" t="str">
        <f t="shared" si="38"/>
        <v/>
      </c>
      <c r="N460" s="16" t="str">
        <f t="shared" si="39"/>
        <v/>
      </c>
      <c r="O460" s="14" t="s">
        <v>34</v>
      </c>
      <c r="P460" s="14" t="s">
        <v>35</v>
      </c>
      <c r="Q460" s="14" t="s">
        <v>36</v>
      </c>
      <c r="R460" s="14"/>
      <c r="S460" t="str">
        <f>IF(E460="","",IFERROR(INDEX(tblProductos[STOCK_ACTUAL],MATCH(E460,tblProductos[ITEM],0)),""))</f>
        <v/>
      </c>
    </row>
    <row r="461" spans="1:19" x14ac:dyDescent="0.3">
      <c r="A461" s="40"/>
      <c r="B461" s="14" t="str">
        <f t="shared" si="35"/>
        <v/>
      </c>
      <c r="C461" s="14" t="str">
        <f>IF(D461="","",IFERROR(INDEX(tblClientes[ID],MATCH(D461,tblClientes[NOMBRE],0)),""))</f>
        <v/>
      </c>
      <c r="D461" s="14"/>
      <c r="E461" s="14"/>
      <c r="F461" s="14" t="str">
        <f>IF(E461="","",IFERROR(INDEX(tblProductos[CATEGORIA],MATCH(E461,tblProductos[ITEM],0)),""))</f>
        <v/>
      </c>
      <c r="G461" s="15"/>
      <c r="H461" s="16"/>
      <c r="I461" s="16" t="str">
        <f>IF(E461="","",IFERROR(INDEX(tblProductos[PRECIO_VENTA],MATCH(E461,tblProductos[ITEM],0)),""))</f>
        <v/>
      </c>
      <c r="J461" s="16" t="str">
        <f t="shared" si="36"/>
        <v/>
      </c>
      <c r="K461" s="16" t="str">
        <f t="shared" si="37"/>
        <v/>
      </c>
      <c r="L461" s="16" t="str">
        <f>IF(E461="","",IFERROR(INDEX(tblProductos[COSTO TOTAL],MATCH(E461,tblProductos[ITEM],0)),""))</f>
        <v/>
      </c>
      <c r="M461" s="16" t="str">
        <f t="shared" si="38"/>
        <v/>
      </c>
      <c r="N461" s="16" t="str">
        <f t="shared" si="39"/>
        <v/>
      </c>
      <c r="O461" s="14" t="s">
        <v>34</v>
      </c>
      <c r="P461" s="14" t="s">
        <v>35</v>
      </c>
      <c r="Q461" s="14" t="s">
        <v>36</v>
      </c>
      <c r="R461" s="14"/>
      <c r="S461" t="str">
        <f>IF(E461="","",IFERROR(INDEX(tblProductos[STOCK_ACTUAL],MATCH(E461,tblProductos[ITEM],0)),""))</f>
        <v/>
      </c>
    </row>
    <row r="462" spans="1:19" x14ac:dyDescent="0.3">
      <c r="A462" s="40"/>
      <c r="B462" s="14" t="str">
        <f t="shared" si="35"/>
        <v/>
      </c>
      <c r="C462" s="14" t="str">
        <f>IF(D462="","",IFERROR(INDEX(tblClientes[ID],MATCH(D462,tblClientes[NOMBRE],0)),""))</f>
        <v/>
      </c>
      <c r="D462" s="14"/>
      <c r="E462" s="14"/>
      <c r="F462" s="14" t="str">
        <f>IF(E462="","",IFERROR(INDEX(tblProductos[CATEGORIA],MATCH(E462,tblProductos[ITEM],0)),""))</f>
        <v/>
      </c>
      <c r="G462" s="15"/>
      <c r="H462" s="16"/>
      <c r="I462" s="16" t="str">
        <f>IF(E462="","",IFERROR(INDEX(tblProductos[PRECIO_VENTA],MATCH(E462,tblProductos[ITEM],0)),""))</f>
        <v/>
      </c>
      <c r="J462" s="16" t="str">
        <f t="shared" si="36"/>
        <v/>
      </c>
      <c r="K462" s="16" t="str">
        <f t="shared" si="37"/>
        <v/>
      </c>
      <c r="L462" s="16" t="str">
        <f>IF(E462="","",IFERROR(INDEX(tblProductos[COSTO TOTAL],MATCH(E462,tblProductos[ITEM],0)),""))</f>
        <v/>
      </c>
      <c r="M462" s="16" t="str">
        <f t="shared" si="38"/>
        <v/>
      </c>
      <c r="N462" s="16" t="str">
        <f t="shared" si="39"/>
        <v/>
      </c>
      <c r="O462" s="14" t="s">
        <v>34</v>
      </c>
      <c r="P462" s="14" t="s">
        <v>35</v>
      </c>
      <c r="Q462" s="14" t="s">
        <v>36</v>
      </c>
      <c r="R462" s="14"/>
      <c r="S462" t="str">
        <f>IF(E462="","",IFERROR(INDEX(tblProductos[STOCK_ACTUAL],MATCH(E462,tblProductos[ITEM],0)),""))</f>
        <v/>
      </c>
    </row>
    <row r="463" spans="1:19" x14ac:dyDescent="0.3">
      <c r="A463" s="40"/>
      <c r="B463" s="14" t="str">
        <f t="shared" si="35"/>
        <v/>
      </c>
      <c r="C463" s="14" t="str">
        <f>IF(D463="","",IFERROR(INDEX(tblClientes[ID],MATCH(D463,tblClientes[NOMBRE],0)),""))</f>
        <v/>
      </c>
      <c r="D463" s="14"/>
      <c r="E463" s="14"/>
      <c r="F463" s="14" t="str">
        <f>IF(E463="","",IFERROR(INDEX(tblProductos[CATEGORIA],MATCH(E463,tblProductos[ITEM],0)),""))</f>
        <v/>
      </c>
      <c r="G463" s="15"/>
      <c r="H463" s="16"/>
      <c r="I463" s="16" t="str">
        <f>IF(E463="","",IFERROR(INDEX(tblProductos[PRECIO_VENTA],MATCH(E463,tblProductos[ITEM],0)),""))</f>
        <v/>
      </c>
      <c r="J463" s="16" t="str">
        <f t="shared" si="36"/>
        <v/>
      </c>
      <c r="K463" s="16" t="str">
        <f t="shared" si="37"/>
        <v/>
      </c>
      <c r="L463" s="16" t="str">
        <f>IF(E463="","",IFERROR(INDEX(tblProductos[COSTO TOTAL],MATCH(E463,tblProductos[ITEM],0)),""))</f>
        <v/>
      </c>
      <c r="M463" s="16" t="str">
        <f t="shared" si="38"/>
        <v/>
      </c>
      <c r="N463" s="16" t="str">
        <f t="shared" si="39"/>
        <v/>
      </c>
      <c r="O463" s="14" t="s">
        <v>34</v>
      </c>
      <c r="P463" s="14" t="s">
        <v>35</v>
      </c>
      <c r="Q463" s="14" t="s">
        <v>36</v>
      </c>
      <c r="R463" s="14"/>
      <c r="S463" t="str">
        <f>IF(E463="","",IFERROR(INDEX(tblProductos[STOCK_ACTUAL],MATCH(E463,tblProductos[ITEM],0)),""))</f>
        <v/>
      </c>
    </row>
    <row r="464" spans="1:19" x14ac:dyDescent="0.3">
      <c r="A464" s="40"/>
      <c r="B464" s="14" t="str">
        <f t="shared" si="35"/>
        <v/>
      </c>
      <c r="C464" s="14" t="str">
        <f>IF(D464="","",IFERROR(INDEX(tblClientes[ID],MATCH(D464,tblClientes[NOMBRE],0)),""))</f>
        <v/>
      </c>
      <c r="D464" s="14"/>
      <c r="E464" s="14"/>
      <c r="F464" s="14" t="str">
        <f>IF(E464="","",IFERROR(INDEX(tblProductos[CATEGORIA],MATCH(E464,tblProductos[ITEM],0)),""))</f>
        <v/>
      </c>
      <c r="G464" s="15"/>
      <c r="H464" s="16"/>
      <c r="I464" s="16" t="str">
        <f>IF(E464="","",IFERROR(INDEX(tblProductos[PRECIO_VENTA],MATCH(E464,tblProductos[ITEM],0)),""))</f>
        <v/>
      </c>
      <c r="J464" s="16" t="str">
        <f t="shared" si="36"/>
        <v/>
      </c>
      <c r="K464" s="16" t="str">
        <f t="shared" si="37"/>
        <v/>
      </c>
      <c r="L464" s="16" t="str">
        <f>IF(E464="","",IFERROR(INDEX(tblProductos[COSTO TOTAL],MATCH(E464,tblProductos[ITEM],0)),""))</f>
        <v/>
      </c>
      <c r="M464" s="16" t="str">
        <f t="shared" si="38"/>
        <v/>
      </c>
      <c r="N464" s="16" t="str">
        <f t="shared" si="39"/>
        <v/>
      </c>
      <c r="O464" s="14" t="s">
        <v>34</v>
      </c>
      <c r="P464" s="14" t="s">
        <v>35</v>
      </c>
      <c r="Q464" s="14" t="s">
        <v>36</v>
      </c>
      <c r="R464" s="14"/>
      <c r="S464" t="str">
        <f>IF(E464="","",IFERROR(INDEX(tblProductos[STOCK_ACTUAL],MATCH(E464,tblProductos[ITEM],0)),""))</f>
        <v/>
      </c>
    </row>
    <row r="465" spans="1:19" x14ac:dyDescent="0.3">
      <c r="A465" s="40"/>
      <c r="B465" s="14" t="str">
        <f t="shared" si="35"/>
        <v/>
      </c>
      <c r="C465" s="14" t="str">
        <f>IF(D465="","",IFERROR(INDEX(tblClientes[ID],MATCH(D465,tblClientes[NOMBRE],0)),""))</f>
        <v/>
      </c>
      <c r="D465" s="14"/>
      <c r="E465" s="14"/>
      <c r="F465" s="14" t="str">
        <f>IF(E465="","",IFERROR(INDEX(tblProductos[CATEGORIA],MATCH(E465,tblProductos[ITEM],0)),""))</f>
        <v/>
      </c>
      <c r="G465" s="15"/>
      <c r="H465" s="16"/>
      <c r="I465" s="16" t="str">
        <f>IF(E465="","",IFERROR(INDEX(tblProductos[PRECIO_VENTA],MATCH(E465,tblProductos[ITEM],0)),""))</f>
        <v/>
      </c>
      <c r="J465" s="16" t="str">
        <f t="shared" si="36"/>
        <v/>
      </c>
      <c r="K465" s="16" t="str">
        <f t="shared" si="37"/>
        <v/>
      </c>
      <c r="L465" s="16" t="str">
        <f>IF(E465="","",IFERROR(INDEX(tblProductos[COSTO TOTAL],MATCH(E465,tblProductos[ITEM],0)),""))</f>
        <v/>
      </c>
      <c r="M465" s="16" t="str">
        <f t="shared" si="38"/>
        <v/>
      </c>
      <c r="N465" s="16" t="str">
        <f t="shared" si="39"/>
        <v/>
      </c>
      <c r="O465" s="14" t="s">
        <v>34</v>
      </c>
      <c r="P465" s="14" t="s">
        <v>35</v>
      </c>
      <c r="Q465" s="14" t="s">
        <v>36</v>
      </c>
      <c r="R465" s="14"/>
      <c r="S465" t="str">
        <f>IF(E465="","",IFERROR(INDEX(tblProductos[STOCK_ACTUAL],MATCH(E465,tblProductos[ITEM],0)),""))</f>
        <v/>
      </c>
    </row>
    <row r="466" spans="1:19" x14ac:dyDescent="0.3">
      <c r="A466" s="40"/>
      <c r="B466" s="14" t="str">
        <f t="shared" si="35"/>
        <v/>
      </c>
      <c r="C466" s="14" t="str">
        <f>IF(D466="","",IFERROR(INDEX(tblClientes[ID],MATCH(D466,tblClientes[NOMBRE],0)),""))</f>
        <v/>
      </c>
      <c r="D466" s="14"/>
      <c r="E466" s="14"/>
      <c r="F466" s="14" t="str">
        <f>IF(E466="","",IFERROR(INDEX(tblProductos[CATEGORIA],MATCH(E466,tblProductos[ITEM],0)),""))</f>
        <v/>
      </c>
      <c r="G466" s="15"/>
      <c r="H466" s="16"/>
      <c r="I466" s="16" t="str">
        <f>IF(E466="","",IFERROR(INDEX(tblProductos[PRECIO_VENTA],MATCH(E466,tblProductos[ITEM],0)),""))</f>
        <v/>
      </c>
      <c r="J466" s="16" t="str">
        <f t="shared" si="36"/>
        <v/>
      </c>
      <c r="K466" s="16" t="str">
        <f t="shared" si="37"/>
        <v/>
      </c>
      <c r="L466" s="16" t="str">
        <f>IF(E466="","",IFERROR(INDEX(tblProductos[COSTO TOTAL],MATCH(E466,tblProductos[ITEM],0)),""))</f>
        <v/>
      </c>
      <c r="M466" s="16" t="str">
        <f t="shared" si="38"/>
        <v/>
      </c>
      <c r="N466" s="16" t="str">
        <f t="shared" si="39"/>
        <v/>
      </c>
      <c r="O466" s="14" t="s">
        <v>34</v>
      </c>
      <c r="P466" s="14" t="s">
        <v>35</v>
      </c>
      <c r="Q466" s="14" t="s">
        <v>36</v>
      </c>
      <c r="R466" s="14"/>
      <c r="S466" t="str">
        <f>IF(E466="","",IFERROR(INDEX(tblProductos[STOCK_ACTUAL],MATCH(E466,tblProductos[ITEM],0)),""))</f>
        <v/>
      </c>
    </row>
    <row r="467" spans="1:19" x14ac:dyDescent="0.3">
      <c r="A467" s="40"/>
      <c r="B467" s="14" t="str">
        <f t="shared" si="35"/>
        <v/>
      </c>
      <c r="C467" s="14" t="str">
        <f>IF(D467="","",IFERROR(INDEX(tblClientes[ID],MATCH(D467,tblClientes[NOMBRE],0)),""))</f>
        <v/>
      </c>
      <c r="D467" s="14"/>
      <c r="E467" s="14"/>
      <c r="F467" s="14" t="str">
        <f>IF(E467="","",IFERROR(INDEX(tblProductos[CATEGORIA],MATCH(E467,tblProductos[ITEM],0)),""))</f>
        <v/>
      </c>
      <c r="G467" s="15"/>
      <c r="H467" s="16"/>
      <c r="I467" s="16" t="str">
        <f>IF(E467="","",IFERROR(INDEX(tblProductos[PRECIO_VENTA],MATCH(E467,tblProductos[ITEM],0)),""))</f>
        <v/>
      </c>
      <c r="J467" s="16" t="str">
        <f t="shared" si="36"/>
        <v/>
      </c>
      <c r="K467" s="16" t="str">
        <f t="shared" si="37"/>
        <v/>
      </c>
      <c r="L467" s="16" t="str">
        <f>IF(E467="","",IFERROR(INDEX(tblProductos[COSTO TOTAL],MATCH(E467,tblProductos[ITEM],0)),""))</f>
        <v/>
      </c>
      <c r="M467" s="16" t="str">
        <f t="shared" si="38"/>
        <v/>
      </c>
      <c r="N467" s="16" t="str">
        <f t="shared" si="39"/>
        <v/>
      </c>
      <c r="O467" s="14" t="s">
        <v>34</v>
      </c>
      <c r="P467" s="14" t="s">
        <v>35</v>
      </c>
      <c r="Q467" s="14" t="s">
        <v>36</v>
      </c>
      <c r="R467" s="14"/>
      <c r="S467" t="str">
        <f>IF(E467="","",IFERROR(INDEX(tblProductos[STOCK_ACTUAL],MATCH(E467,tblProductos[ITEM],0)),""))</f>
        <v/>
      </c>
    </row>
    <row r="468" spans="1:19" x14ac:dyDescent="0.3">
      <c r="A468" s="40"/>
      <c r="B468" s="14" t="str">
        <f t="shared" si="35"/>
        <v/>
      </c>
      <c r="C468" s="14" t="str">
        <f>IF(D468="","",IFERROR(INDEX(tblClientes[ID],MATCH(D468,tblClientes[NOMBRE],0)),""))</f>
        <v/>
      </c>
      <c r="D468" s="14"/>
      <c r="E468" s="14"/>
      <c r="F468" s="14" t="str">
        <f>IF(E468="","",IFERROR(INDEX(tblProductos[CATEGORIA],MATCH(E468,tblProductos[ITEM],0)),""))</f>
        <v/>
      </c>
      <c r="G468" s="15"/>
      <c r="H468" s="16"/>
      <c r="I468" s="16" t="str">
        <f>IF(E468="","",IFERROR(INDEX(tblProductos[PRECIO_VENTA],MATCH(E468,tblProductos[ITEM],0)),""))</f>
        <v/>
      </c>
      <c r="J468" s="16" t="str">
        <f t="shared" si="36"/>
        <v/>
      </c>
      <c r="K468" s="16" t="str">
        <f t="shared" si="37"/>
        <v/>
      </c>
      <c r="L468" s="16" t="str">
        <f>IF(E468="","",IFERROR(INDEX(tblProductos[COSTO TOTAL],MATCH(E468,tblProductos[ITEM],0)),""))</f>
        <v/>
      </c>
      <c r="M468" s="16" t="str">
        <f t="shared" si="38"/>
        <v/>
      </c>
      <c r="N468" s="16" t="str">
        <f t="shared" si="39"/>
        <v/>
      </c>
      <c r="O468" s="14" t="s">
        <v>34</v>
      </c>
      <c r="P468" s="14" t="s">
        <v>35</v>
      </c>
      <c r="Q468" s="14" t="s">
        <v>36</v>
      </c>
      <c r="R468" s="14"/>
      <c r="S468" t="str">
        <f>IF(E468="","",IFERROR(INDEX(tblProductos[STOCK_ACTUAL],MATCH(E468,tblProductos[ITEM],0)),""))</f>
        <v/>
      </c>
    </row>
    <row r="469" spans="1:19" x14ac:dyDescent="0.3">
      <c r="A469" s="40"/>
      <c r="B469" s="14" t="str">
        <f t="shared" si="35"/>
        <v/>
      </c>
      <c r="C469" s="14" t="str">
        <f>IF(D469="","",IFERROR(INDEX(tblClientes[ID],MATCH(D469,tblClientes[NOMBRE],0)),""))</f>
        <v/>
      </c>
      <c r="D469" s="14"/>
      <c r="E469" s="14"/>
      <c r="F469" s="14" t="str">
        <f>IF(E469="","",IFERROR(INDEX(tblProductos[CATEGORIA],MATCH(E469,tblProductos[ITEM],0)),""))</f>
        <v/>
      </c>
      <c r="G469" s="15"/>
      <c r="H469" s="16"/>
      <c r="I469" s="16" t="str">
        <f>IF(E469="","",IFERROR(INDEX(tblProductos[PRECIO_VENTA],MATCH(E469,tblProductos[ITEM],0)),""))</f>
        <v/>
      </c>
      <c r="J469" s="16" t="str">
        <f t="shared" si="36"/>
        <v/>
      </c>
      <c r="K469" s="16" t="str">
        <f t="shared" si="37"/>
        <v/>
      </c>
      <c r="L469" s="16" t="str">
        <f>IF(E469="","",IFERROR(INDEX(tblProductos[COSTO TOTAL],MATCH(E469,tblProductos[ITEM],0)),""))</f>
        <v/>
      </c>
      <c r="M469" s="16" t="str">
        <f t="shared" si="38"/>
        <v/>
      </c>
      <c r="N469" s="16" t="str">
        <f t="shared" si="39"/>
        <v/>
      </c>
      <c r="O469" s="14" t="s">
        <v>34</v>
      </c>
      <c r="P469" s="14" t="s">
        <v>35</v>
      </c>
      <c r="Q469" s="14" t="s">
        <v>36</v>
      </c>
      <c r="R469" s="14"/>
      <c r="S469" t="str">
        <f>IF(E469="","",IFERROR(INDEX(tblProductos[STOCK_ACTUAL],MATCH(E469,tblProductos[ITEM],0)),""))</f>
        <v/>
      </c>
    </row>
    <row r="470" spans="1:19" x14ac:dyDescent="0.3">
      <c r="A470" s="40"/>
      <c r="B470" s="14" t="str">
        <f t="shared" si="35"/>
        <v/>
      </c>
      <c r="C470" s="14" t="str">
        <f>IF(D470="","",IFERROR(INDEX(tblClientes[ID],MATCH(D470,tblClientes[NOMBRE],0)),""))</f>
        <v/>
      </c>
      <c r="D470" s="14"/>
      <c r="E470" s="14"/>
      <c r="F470" s="14" t="str">
        <f>IF(E470="","",IFERROR(INDEX(tblProductos[CATEGORIA],MATCH(E470,tblProductos[ITEM],0)),""))</f>
        <v/>
      </c>
      <c r="G470" s="15"/>
      <c r="H470" s="16"/>
      <c r="I470" s="16" t="str">
        <f>IF(E470="","",IFERROR(INDEX(tblProductos[PRECIO_VENTA],MATCH(E470,tblProductos[ITEM],0)),""))</f>
        <v/>
      </c>
      <c r="J470" s="16" t="str">
        <f t="shared" si="36"/>
        <v/>
      </c>
      <c r="K470" s="16" t="str">
        <f t="shared" si="37"/>
        <v/>
      </c>
      <c r="L470" s="16" t="str">
        <f>IF(E470="","",IFERROR(INDEX(tblProductos[COSTO TOTAL],MATCH(E470,tblProductos[ITEM],0)),""))</f>
        <v/>
      </c>
      <c r="M470" s="16" t="str">
        <f t="shared" si="38"/>
        <v/>
      </c>
      <c r="N470" s="16" t="str">
        <f t="shared" si="39"/>
        <v/>
      </c>
      <c r="O470" s="14" t="s">
        <v>34</v>
      </c>
      <c r="P470" s="14" t="s">
        <v>35</v>
      </c>
      <c r="Q470" s="14" t="s">
        <v>36</v>
      </c>
      <c r="R470" s="14"/>
      <c r="S470" t="str">
        <f>IF(E470="","",IFERROR(INDEX(tblProductos[STOCK_ACTUAL],MATCH(E470,tblProductos[ITEM],0)),""))</f>
        <v/>
      </c>
    </row>
    <row r="471" spans="1:19" x14ac:dyDescent="0.3">
      <c r="A471" s="40"/>
      <c r="B471" s="14" t="str">
        <f t="shared" si="35"/>
        <v/>
      </c>
      <c r="C471" s="14" t="str">
        <f>IF(D471="","",IFERROR(INDEX(tblClientes[ID],MATCH(D471,tblClientes[NOMBRE],0)),""))</f>
        <v/>
      </c>
      <c r="D471" s="14"/>
      <c r="E471" s="14"/>
      <c r="F471" s="14" t="str">
        <f>IF(E471="","",IFERROR(INDEX(tblProductos[CATEGORIA],MATCH(E471,tblProductos[ITEM],0)),""))</f>
        <v/>
      </c>
      <c r="G471" s="15"/>
      <c r="H471" s="16"/>
      <c r="I471" s="16" t="str">
        <f>IF(E471="","",IFERROR(INDEX(tblProductos[PRECIO_VENTA],MATCH(E471,tblProductos[ITEM],0)),""))</f>
        <v/>
      </c>
      <c r="J471" s="16" t="str">
        <f t="shared" si="36"/>
        <v/>
      </c>
      <c r="K471" s="16" t="str">
        <f t="shared" si="37"/>
        <v/>
      </c>
      <c r="L471" s="16" t="str">
        <f>IF(E471="","",IFERROR(INDEX(tblProductos[COSTO TOTAL],MATCH(E471,tblProductos[ITEM],0)),""))</f>
        <v/>
      </c>
      <c r="M471" s="16" t="str">
        <f t="shared" si="38"/>
        <v/>
      </c>
      <c r="N471" s="16" t="str">
        <f t="shared" si="39"/>
        <v/>
      </c>
      <c r="O471" s="14" t="s">
        <v>34</v>
      </c>
      <c r="P471" s="14" t="s">
        <v>35</v>
      </c>
      <c r="Q471" s="14" t="s">
        <v>36</v>
      </c>
      <c r="R471" s="14"/>
      <c r="S471" t="str">
        <f>IF(E471="","",IFERROR(INDEX(tblProductos[STOCK_ACTUAL],MATCH(E471,tblProductos[ITEM],0)),""))</f>
        <v/>
      </c>
    </row>
    <row r="472" spans="1:19" x14ac:dyDescent="0.3">
      <c r="A472" s="40"/>
      <c r="B472" s="14" t="str">
        <f t="shared" si="35"/>
        <v/>
      </c>
      <c r="C472" s="14" t="str">
        <f>IF(D472="","",IFERROR(INDEX(tblClientes[ID],MATCH(D472,tblClientes[NOMBRE],0)),""))</f>
        <v/>
      </c>
      <c r="D472" s="14"/>
      <c r="E472" s="14"/>
      <c r="F472" s="14" t="str">
        <f>IF(E472="","",IFERROR(INDEX(tblProductos[CATEGORIA],MATCH(E472,tblProductos[ITEM],0)),""))</f>
        <v/>
      </c>
      <c r="G472" s="15"/>
      <c r="H472" s="16"/>
      <c r="I472" s="16" t="str">
        <f>IF(E472="","",IFERROR(INDEX(tblProductos[PRECIO_VENTA],MATCH(E472,tblProductos[ITEM],0)),""))</f>
        <v/>
      </c>
      <c r="J472" s="16" t="str">
        <f t="shared" si="36"/>
        <v/>
      </c>
      <c r="K472" s="16" t="str">
        <f t="shared" si="37"/>
        <v/>
      </c>
      <c r="L472" s="16" t="str">
        <f>IF(E472="","",IFERROR(INDEX(tblProductos[COSTO TOTAL],MATCH(E472,tblProductos[ITEM],0)),""))</f>
        <v/>
      </c>
      <c r="M472" s="16" t="str">
        <f t="shared" si="38"/>
        <v/>
      </c>
      <c r="N472" s="16" t="str">
        <f t="shared" si="39"/>
        <v/>
      </c>
      <c r="O472" s="14" t="s">
        <v>34</v>
      </c>
      <c r="P472" s="14" t="s">
        <v>35</v>
      </c>
      <c r="Q472" s="14" t="s">
        <v>36</v>
      </c>
      <c r="R472" s="14"/>
      <c r="S472" t="str">
        <f>IF(E472="","",IFERROR(INDEX(tblProductos[STOCK_ACTUAL],MATCH(E472,tblProductos[ITEM],0)),""))</f>
        <v/>
      </c>
    </row>
    <row r="473" spans="1:19" x14ac:dyDescent="0.3">
      <c r="A473" s="40"/>
      <c r="B473" s="14" t="str">
        <f t="shared" si="35"/>
        <v/>
      </c>
      <c r="C473" s="14" t="str">
        <f>IF(D473="","",IFERROR(INDEX(tblClientes[ID],MATCH(D473,tblClientes[NOMBRE],0)),""))</f>
        <v/>
      </c>
      <c r="D473" s="14"/>
      <c r="E473" s="14"/>
      <c r="F473" s="14" t="str">
        <f>IF(E473="","",IFERROR(INDEX(tblProductos[CATEGORIA],MATCH(E473,tblProductos[ITEM],0)),""))</f>
        <v/>
      </c>
      <c r="G473" s="15"/>
      <c r="H473" s="16"/>
      <c r="I473" s="16" t="str">
        <f>IF(E473="","",IFERROR(INDEX(tblProductos[PRECIO_VENTA],MATCH(E473,tblProductos[ITEM],0)),""))</f>
        <v/>
      </c>
      <c r="J473" s="16" t="str">
        <f t="shared" si="36"/>
        <v/>
      </c>
      <c r="K473" s="16" t="str">
        <f t="shared" si="37"/>
        <v/>
      </c>
      <c r="L473" s="16" t="str">
        <f>IF(E473="","",IFERROR(INDEX(tblProductos[COSTO TOTAL],MATCH(E473,tblProductos[ITEM],0)),""))</f>
        <v/>
      </c>
      <c r="M473" s="16" t="str">
        <f t="shared" si="38"/>
        <v/>
      </c>
      <c r="N473" s="16" t="str">
        <f t="shared" si="39"/>
        <v/>
      </c>
      <c r="O473" s="14" t="s">
        <v>34</v>
      </c>
      <c r="P473" s="14" t="s">
        <v>35</v>
      </c>
      <c r="Q473" s="14" t="s">
        <v>36</v>
      </c>
      <c r="R473" s="14"/>
      <c r="S473" t="str">
        <f>IF(E473="","",IFERROR(INDEX(tblProductos[STOCK_ACTUAL],MATCH(E473,tblProductos[ITEM],0)),""))</f>
        <v/>
      </c>
    </row>
    <row r="474" spans="1:19" x14ac:dyDescent="0.3">
      <c r="A474" s="40"/>
      <c r="B474" s="14" t="str">
        <f t="shared" si="35"/>
        <v/>
      </c>
      <c r="C474" s="14" t="str">
        <f>IF(D474="","",IFERROR(INDEX(tblClientes[ID],MATCH(D474,tblClientes[NOMBRE],0)),""))</f>
        <v/>
      </c>
      <c r="D474" s="14"/>
      <c r="E474" s="14"/>
      <c r="F474" s="14" t="str">
        <f>IF(E474="","",IFERROR(INDEX(tblProductos[CATEGORIA],MATCH(E474,tblProductos[ITEM],0)),""))</f>
        <v/>
      </c>
      <c r="G474" s="15"/>
      <c r="H474" s="16"/>
      <c r="I474" s="16" t="str">
        <f>IF(E474="","",IFERROR(INDEX(tblProductos[PRECIO_VENTA],MATCH(E474,tblProductos[ITEM],0)),""))</f>
        <v/>
      </c>
      <c r="J474" s="16" t="str">
        <f t="shared" si="36"/>
        <v/>
      </c>
      <c r="K474" s="16" t="str">
        <f t="shared" si="37"/>
        <v/>
      </c>
      <c r="L474" s="16" t="str">
        <f>IF(E474="","",IFERROR(INDEX(tblProductos[COSTO TOTAL],MATCH(E474,tblProductos[ITEM],0)),""))</f>
        <v/>
      </c>
      <c r="M474" s="16" t="str">
        <f t="shared" si="38"/>
        <v/>
      </c>
      <c r="N474" s="16" t="str">
        <f t="shared" si="39"/>
        <v/>
      </c>
      <c r="O474" s="14" t="s">
        <v>34</v>
      </c>
      <c r="P474" s="14" t="s">
        <v>35</v>
      </c>
      <c r="Q474" s="14" t="s">
        <v>36</v>
      </c>
      <c r="R474" s="14"/>
      <c r="S474" t="str">
        <f>IF(E474="","",IFERROR(INDEX(tblProductos[STOCK_ACTUAL],MATCH(E474,tblProductos[ITEM],0)),""))</f>
        <v/>
      </c>
    </row>
    <row r="475" spans="1:19" x14ac:dyDescent="0.3">
      <c r="A475" s="40"/>
      <c r="B475" s="14" t="str">
        <f t="shared" si="35"/>
        <v/>
      </c>
      <c r="C475" s="14" t="str">
        <f>IF(D475="","",IFERROR(INDEX(tblClientes[ID],MATCH(D475,tblClientes[NOMBRE],0)),""))</f>
        <v/>
      </c>
      <c r="D475" s="14"/>
      <c r="E475" s="14"/>
      <c r="F475" s="14" t="str">
        <f>IF(E475="","",IFERROR(INDEX(tblProductos[CATEGORIA],MATCH(E475,tblProductos[ITEM],0)),""))</f>
        <v/>
      </c>
      <c r="G475" s="15"/>
      <c r="H475" s="16"/>
      <c r="I475" s="16" t="str">
        <f>IF(E475="","",IFERROR(INDEX(tblProductos[PRECIO_VENTA],MATCH(E475,tblProductos[ITEM],0)),""))</f>
        <v/>
      </c>
      <c r="J475" s="16" t="str">
        <f t="shared" si="36"/>
        <v/>
      </c>
      <c r="K475" s="16" t="str">
        <f t="shared" si="37"/>
        <v/>
      </c>
      <c r="L475" s="16" t="str">
        <f>IF(E475="","",IFERROR(INDEX(tblProductos[COSTO TOTAL],MATCH(E475,tblProductos[ITEM],0)),""))</f>
        <v/>
      </c>
      <c r="M475" s="16" t="str">
        <f t="shared" si="38"/>
        <v/>
      </c>
      <c r="N475" s="16" t="str">
        <f t="shared" si="39"/>
        <v/>
      </c>
      <c r="O475" s="14" t="s">
        <v>34</v>
      </c>
      <c r="P475" s="14" t="s">
        <v>35</v>
      </c>
      <c r="Q475" s="14" t="s">
        <v>36</v>
      </c>
      <c r="R475" s="14"/>
      <c r="S475" t="str">
        <f>IF(E475="","",IFERROR(INDEX(tblProductos[STOCK_ACTUAL],MATCH(E475,tblProductos[ITEM],0)),""))</f>
        <v/>
      </c>
    </row>
    <row r="476" spans="1:19" x14ac:dyDescent="0.3">
      <c r="A476" s="40"/>
      <c r="B476" s="14" t="str">
        <f t="shared" si="35"/>
        <v/>
      </c>
      <c r="C476" s="14" t="str">
        <f>IF(D476="","",IFERROR(INDEX(tblClientes[ID],MATCH(D476,tblClientes[NOMBRE],0)),""))</f>
        <v/>
      </c>
      <c r="D476" s="14"/>
      <c r="E476" s="14"/>
      <c r="F476" s="14" t="str">
        <f>IF(E476="","",IFERROR(INDEX(tblProductos[CATEGORIA],MATCH(E476,tblProductos[ITEM],0)),""))</f>
        <v/>
      </c>
      <c r="G476" s="15"/>
      <c r="H476" s="16"/>
      <c r="I476" s="16" t="str">
        <f>IF(E476="","",IFERROR(INDEX(tblProductos[PRECIO_VENTA],MATCH(E476,tblProductos[ITEM],0)),""))</f>
        <v/>
      </c>
      <c r="J476" s="16" t="str">
        <f t="shared" si="36"/>
        <v/>
      </c>
      <c r="K476" s="16" t="str">
        <f t="shared" si="37"/>
        <v/>
      </c>
      <c r="L476" s="16" t="str">
        <f>IF(E476="","",IFERROR(INDEX(tblProductos[COSTO TOTAL],MATCH(E476,tblProductos[ITEM],0)),""))</f>
        <v/>
      </c>
      <c r="M476" s="16" t="str">
        <f t="shared" si="38"/>
        <v/>
      </c>
      <c r="N476" s="16" t="str">
        <f t="shared" si="39"/>
        <v/>
      </c>
      <c r="O476" s="14" t="s">
        <v>34</v>
      </c>
      <c r="P476" s="14" t="s">
        <v>35</v>
      </c>
      <c r="Q476" s="14" t="s">
        <v>36</v>
      </c>
      <c r="R476" s="14"/>
      <c r="S476" t="str">
        <f>IF(E476="","",IFERROR(INDEX(tblProductos[STOCK_ACTUAL],MATCH(E476,tblProductos[ITEM],0)),""))</f>
        <v/>
      </c>
    </row>
    <row r="477" spans="1:19" x14ac:dyDescent="0.3">
      <c r="A477" s="40"/>
      <c r="B477" s="14" t="str">
        <f t="shared" si="35"/>
        <v/>
      </c>
      <c r="C477" s="14" t="str">
        <f>IF(D477="","",IFERROR(INDEX(tblClientes[ID],MATCH(D477,tblClientes[NOMBRE],0)),""))</f>
        <v/>
      </c>
      <c r="D477" s="14"/>
      <c r="E477" s="14"/>
      <c r="F477" s="14" t="str">
        <f>IF(E477="","",IFERROR(INDEX(tblProductos[CATEGORIA],MATCH(E477,tblProductos[ITEM],0)),""))</f>
        <v/>
      </c>
      <c r="G477" s="15"/>
      <c r="H477" s="16"/>
      <c r="I477" s="16" t="str">
        <f>IF(E477="","",IFERROR(INDEX(tblProductos[PRECIO_VENTA],MATCH(E477,tblProductos[ITEM],0)),""))</f>
        <v/>
      </c>
      <c r="J477" s="16" t="str">
        <f t="shared" si="36"/>
        <v/>
      </c>
      <c r="K477" s="16" t="str">
        <f t="shared" si="37"/>
        <v/>
      </c>
      <c r="L477" s="16" t="str">
        <f>IF(E477="","",IFERROR(INDEX(tblProductos[COSTO TOTAL],MATCH(E477,tblProductos[ITEM],0)),""))</f>
        <v/>
      </c>
      <c r="M477" s="16" t="str">
        <f t="shared" si="38"/>
        <v/>
      </c>
      <c r="N477" s="16" t="str">
        <f t="shared" si="39"/>
        <v/>
      </c>
      <c r="O477" s="14" t="s">
        <v>34</v>
      </c>
      <c r="P477" s="14" t="s">
        <v>35</v>
      </c>
      <c r="Q477" s="14" t="s">
        <v>36</v>
      </c>
      <c r="R477" s="14"/>
      <c r="S477" t="str">
        <f>IF(E477="","",IFERROR(INDEX(tblProductos[STOCK_ACTUAL],MATCH(E477,tblProductos[ITEM],0)),""))</f>
        <v/>
      </c>
    </row>
    <row r="478" spans="1:19" x14ac:dyDescent="0.3">
      <c r="A478" s="40"/>
      <c r="B478" s="14" t="str">
        <f t="shared" si="35"/>
        <v/>
      </c>
      <c r="C478" s="14" t="str">
        <f>IF(D478="","",IFERROR(INDEX(tblClientes[ID],MATCH(D478,tblClientes[NOMBRE],0)),""))</f>
        <v/>
      </c>
      <c r="D478" s="14"/>
      <c r="E478" s="14"/>
      <c r="F478" s="14" t="str">
        <f>IF(E478="","",IFERROR(INDEX(tblProductos[CATEGORIA],MATCH(E478,tblProductos[ITEM],0)),""))</f>
        <v/>
      </c>
      <c r="G478" s="15"/>
      <c r="H478" s="16"/>
      <c r="I478" s="16" t="str">
        <f>IF(E478="","",IFERROR(INDEX(tblProductos[PRECIO_VENTA],MATCH(E478,tblProductos[ITEM],0)),""))</f>
        <v/>
      </c>
      <c r="J478" s="16" t="str">
        <f t="shared" si="36"/>
        <v/>
      </c>
      <c r="K478" s="16" t="str">
        <f t="shared" si="37"/>
        <v/>
      </c>
      <c r="L478" s="16" t="str">
        <f>IF(E478="","",IFERROR(INDEX(tblProductos[COSTO TOTAL],MATCH(E478,tblProductos[ITEM],0)),""))</f>
        <v/>
      </c>
      <c r="M478" s="16" t="str">
        <f t="shared" si="38"/>
        <v/>
      </c>
      <c r="N478" s="16" t="str">
        <f t="shared" si="39"/>
        <v/>
      </c>
      <c r="O478" s="14" t="s">
        <v>34</v>
      </c>
      <c r="P478" s="14" t="s">
        <v>35</v>
      </c>
      <c r="Q478" s="14" t="s">
        <v>36</v>
      </c>
      <c r="R478" s="14"/>
      <c r="S478" t="str">
        <f>IF(E478="","",IFERROR(INDEX(tblProductos[STOCK_ACTUAL],MATCH(E478,tblProductos[ITEM],0)),""))</f>
        <v/>
      </c>
    </row>
    <row r="479" spans="1:19" x14ac:dyDescent="0.3">
      <c r="A479" s="40"/>
      <c r="B479" s="14" t="str">
        <f t="shared" si="35"/>
        <v/>
      </c>
      <c r="C479" s="14" t="str">
        <f>IF(D479="","",IFERROR(INDEX(tblClientes[ID],MATCH(D479,tblClientes[NOMBRE],0)),""))</f>
        <v/>
      </c>
      <c r="D479" s="14"/>
      <c r="E479" s="14"/>
      <c r="F479" s="14" t="str">
        <f>IF(E479="","",IFERROR(INDEX(tblProductos[CATEGORIA],MATCH(E479,tblProductos[ITEM],0)),""))</f>
        <v/>
      </c>
      <c r="G479" s="15"/>
      <c r="H479" s="16"/>
      <c r="I479" s="16" t="str">
        <f>IF(E479="","",IFERROR(INDEX(tblProductos[PRECIO_VENTA],MATCH(E479,tblProductos[ITEM],0)),""))</f>
        <v/>
      </c>
      <c r="J479" s="16" t="str">
        <f t="shared" si="36"/>
        <v/>
      </c>
      <c r="K479" s="16" t="str">
        <f t="shared" si="37"/>
        <v/>
      </c>
      <c r="L479" s="16" t="str">
        <f>IF(E479="","",IFERROR(INDEX(tblProductos[COSTO TOTAL],MATCH(E479,tblProductos[ITEM],0)),""))</f>
        <v/>
      </c>
      <c r="M479" s="16" t="str">
        <f t="shared" si="38"/>
        <v/>
      </c>
      <c r="N479" s="16" t="str">
        <f t="shared" si="39"/>
        <v/>
      </c>
      <c r="O479" s="14" t="s">
        <v>34</v>
      </c>
      <c r="P479" s="14" t="s">
        <v>35</v>
      </c>
      <c r="Q479" s="14" t="s">
        <v>36</v>
      </c>
      <c r="R479" s="14"/>
      <c r="S479" t="str">
        <f>IF(E479="","",IFERROR(INDEX(tblProductos[STOCK_ACTUAL],MATCH(E479,tblProductos[ITEM],0)),""))</f>
        <v/>
      </c>
    </row>
    <row r="480" spans="1:19" x14ac:dyDescent="0.3">
      <c r="A480" s="40"/>
      <c r="B480" s="14" t="str">
        <f t="shared" si="35"/>
        <v/>
      </c>
      <c r="C480" s="14" t="str">
        <f>IF(D480="","",IFERROR(INDEX(tblClientes[ID],MATCH(D480,tblClientes[NOMBRE],0)),""))</f>
        <v/>
      </c>
      <c r="D480" s="14"/>
      <c r="E480" s="14"/>
      <c r="F480" s="14" t="str">
        <f>IF(E480="","",IFERROR(INDEX(tblProductos[CATEGORIA],MATCH(E480,tblProductos[ITEM],0)),""))</f>
        <v/>
      </c>
      <c r="G480" s="15"/>
      <c r="H480" s="16"/>
      <c r="I480" s="16" t="str">
        <f>IF(E480="","",IFERROR(INDEX(tblProductos[PRECIO_VENTA],MATCH(E480,tblProductos[ITEM],0)),""))</f>
        <v/>
      </c>
      <c r="J480" s="16" t="str">
        <f t="shared" si="36"/>
        <v/>
      </c>
      <c r="K480" s="16" t="str">
        <f t="shared" si="37"/>
        <v/>
      </c>
      <c r="L480" s="16" t="str">
        <f>IF(E480="","",IFERROR(INDEX(tblProductos[COSTO TOTAL],MATCH(E480,tblProductos[ITEM],0)),""))</f>
        <v/>
      </c>
      <c r="M480" s="16" t="str">
        <f t="shared" si="38"/>
        <v/>
      </c>
      <c r="N480" s="16" t="str">
        <f t="shared" si="39"/>
        <v/>
      </c>
      <c r="O480" s="14" t="s">
        <v>34</v>
      </c>
      <c r="P480" s="14" t="s">
        <v>35</v>
      </c>
      <c r="Q480" s="14" t="s">
        <v>36</v>
      </c>
      <c r="R480" s="14"/>
      <c r="S480" t="str">
        <f>IF(E480="","",IFERROR(INDEX(tblProductos[STOCK_ACTUAL],MATCH(E480,tblProductos[ITEM],0)),""))</f>
        <v/>
      </c>
    </row>
    <row r="481" spans="1:19" x14ac:dyDescent="0.3">
      <c r="A481" s="40"/>
      <c r="B481" s="14" t="str">
        <f t="shared" si="35"/>
        <v/>
      </c>
      <c r="C481" s="14" t="str">
        <f>IF(D481="","",IFERROR(INDEX(tblClientes[ID],MATCH(D481,tblClientes[NOMBRE],0)),""))</f>
        <v/>
      </c>
      <c r="D481" s="14"/>
      <c r="E481" s="14"/>
      <c r="F481" s="14" t="str">
        <f>IF(E481="","",IFERROR(INDEX(tblProductos[CATEGORIA],MATCH(E481,tblProductos[ITEM],0)),""))</f>
        <v/>
      </c>
      <c r="G481" s="15"/>
      <c r="H481" s="16"/>
      <c r="I481" s="16" t="str">
        <f>IF(E481="","",IFERROR(INDEX(tblProductos[PRECIO_VENTA],MATCH(E481,tblProductos[ITEM],0)),""))</f>
        <v/>
      </c>
      <c r="J481" s="16" t="str">
        <f t="shared" si="36"/>
        <v/>
      </c>
      <c r="K481" s="16" t="str">
        <f t="shared" si="37"/>
        <v/>
      </c>
      <c r="L481" s="16" t="str">
        <f>IF(E481="","",IFERROR(INDEX(tblProductos[COSTO TOTAL],MATCH(E481,tblProductos[ITEM],0)),""))</f>
        <v/>
      </c>
      <c r="M481" s="16" t="str">
        <f t="shared" si="38"/>
        <v/>
      </c>
      <c r="N481" s="16" t="str">
        <f t="shared" si="39"/>
        <v/>
      </c>
      <c r="O481" s="14" t="s">
        <v>34</v>
      </c>
      <c r="P481" s="14" t="s">
        <v>35</v>
      </c>
      <c r="Q481" s="14" t="s">
        <v>36</v>
      </c>
      <c r="R481" s="14"/>
      <c r="S481" t="str">
        <f>IF(E481="","",IFERROR(INDEX(tblProductos[STOCK_ACTUAL],MATCH(E481,tblProductos[ITEM],0)),""))</f>
        <v/>
      </c>
    </row>
    <row r="482" spans="1:19" x14ac:dyDescent="0.3">
      <c r="A482" s="40"/>
      <c r="B482" s="14" t="str">
        <f t="shared" si="35"/>
        <v/>
      </c>
      <c r="C482" s="14" t="str">
        <f>IF(D482="","",IFERROR(INDEX(tblClientes[ID],MATCH(D482,tblClientes[NOMBRE],0)),""))</f>
        <v/>
      </c>
      <c r="D482" s="14"/>
      <c r="E482" s="14"/>
      <c r="F482" s="14" t="str">
        <f>IF(E482="","",IFERROR(INDEX(tblProductos[CATEGORIA],MATCH(E482,tblProductos[ITEM],0)),""))</f>
        <v/>
      </c>
      <c r="G482" s="15"/>
      <c r="H482" s="16"/>
      <c r="I482" s="16" t="str">
        <f>IF(E482="","",IFERROR(INDEX(tblProductos[PRECIO_VENTA],MATCH(E482,tblProductos[ITEM],0)),""))</f>
        <v/>
      </c>
      <c r="J482" s="16" t="str">
        <f t="shared" si="36"/>
        <v/>
      </c>
      <c r="K482" s="16" t="str">
        <f t="shared" si="37"/>
        <v/>
      </c>
      <c r="L482" s="16" t="str">
        <f>IF(E482="","",IFERROR(INDEX(tblProductos[COSTO TOTAL],MATCH(E482,tblProductos[ITEM],0)),""))</f>
        <v/>
      </c>
      <c r="M482" s="16" t="str">
        <f t="shared" si="38"/>
        <v/>
      </c>
      <c r="N482" s="16" t="str">
        <f t="shared" si="39"/>
        <v/>
      </c>
      <c r="O482" s="14" t="s">
        <v>34</v>
      </c>
      <c r="P482" s="14" t="s">
        <v>35</v>
      </c>
      <c r="Q482" s="14" t="s">
        <v>36</v>
      </c>
      <c r="R482" s="14"/>
      <c r="S482" t="str">
        <f>IF(E482="","",IFERROR(INDEX(tblProductos[STOCK_ACTUAL],MATCH(E482,tblProductos[ITEM],0)),""))</f>
        <v/>
      </c>
    </row>
    <row r="483" spans="1:19" x14ac:dyDescent="0.3">
      <c r="A483" s="40"/>
      <c r="B483" s="14" t="str">
        <f t="shared" si="35"/>
        <v/>
      </c>
      <c r="C483" s="14" t="str">
        <f>IF(D483="","",IFERROR(INDEX(tblClientes[ID],MATCH(D483,tblClientes[NOMBRE],0)),""))</f>
        <v/>
      </c>
      <c r="D483" s="14"/>
      <c r="E483" s="14"/>
      <c r="F483" s="14" t="str">
        <f>IF(E483="","",IFERROR(INDEX(tblProductos[CATEGORIA],MATCH(E483,tblProductos[ITEM],0)),""))</f>
        <v/>
      </c>
      <c r="G483" s="15"/>
      <c r="H483" s="16"/>
      <c r="I483" s="16" t="str">
        <f>IF(E483="","",IFERROR(INDEX(tblProductos[PRECIO_VENTA],MATCH(E483,tblProductos[ITEM],0)),""))</f>
        <v/>
      </c>
      <c r="J483" s="16" t="str">
        <f t="shared" si="36"/>
        <v/>
      </c>
      <c r="K483" s="16" t="str">
        <f t="shared" si="37"/>
        <v/>
      </c>
      <c r="L483" s="16" t="str">
        <f>IF(E483="","",IFERROR(INDEX(tblProductos[COSTO TOTAL],MATCH(E483,tblProductos[ITEM],0)),""))</f>
        <v/>
      </c>
      <c r="M483" s="16" t="str">
        <f t="shared" si="38"/>
        <v/>
      </c>
      <c r="N483" s="16" t="str">
        <f t="shared" si="39"/>
        <v/>
      </c>
      <c r="O483" s="14" t="s">
        <v>34</v>
      </c>
      <c r="P483" s="14" t="s">
        <v>35</v>
      </c>
      <c r="Q483" s="14" t="s">
        <v>36</v>
      </c>
      <c r="R483" s="14"/>
      <c r="S483" t="str">
        <f>IF(E483="","",IFERROR(INDEX(tblProductos[STOCK_ACTUAL],MATCH(E483,tblProductos[ITEM],0)),""))</f>
        <v/>
      </c>
    </row>
    <row r="484" spans="1:19" x14ac:dyDescent="0.3">
      <c r="A484" s="40"/>
      <c r="B484" s="14" t="str">
        <f t="shared" si="35"/>
        <v/>
      </c>
      <c r="C484" s="14" t="str">
        <f>IF(D484="","",IFERROR(INDEX(tblClientes[ID],MATCH(D484,tblClientes[NOMBRE],0)),""))</f>
        <v/>
      </c>
      <c r="D484" s="14"/>
      <c r="E484" s="14"/>
      <c r="F484" s="14" t="str">
        <f>IF(E484="","",IFERROR(INDEX(tblProductos[CATEGORIA],MATCH(E484,tblProductos[ITEM],0)),""))</f>
        <v/>
      </c>
      <c r="G484" s="15"/>
      <c r="H484" s="16"/>
      <c r="I484" s="16" t="str">
        <f>IF(E484="","",IFERROR(INDEX(tblProductos[PRECIO_VENTA],MATCH(E484,tblProductos[ITEM],0)),""))</f>
        <v/>
      </c>
      <c r="J484" s="16" t="str">
        <f t="shared" si="36"/>
        <v/>
      </c>
      <c r="K484" s="16" t="str">
        <f t="shared" si="37"/>
        <v/>
      </c>
      <c r="L484" s="16" t="str">
        <f>IF(E484="","",IFERROR(INDEX(tblProductos[COSTO TOTAL],MATCH(E484,tblProductos[ITEM],0)),""))</f>
        <v/>
      </c>
      <c r="M484" s="16" t="str">
        <f t="shared" si="38"/>
        <v/>
      </c>
      <c r="N484" s="16" t="str">
        <f t="shared" si="39"/>
        <v/>
      </c>
      <c r="O484" s="14" t="s">
        <v>34</v>
      </c>
      <c r="P484" s="14" t="s">
        <v>35</v>
      </c>
      <c r="Q484" s="14" t="s">
        <v>36</v>
      </c>
      <c r="R484" s="14"/>
      <c r="S484" t="str">
        <f>IF(E484="","",IFERROR(INDEX(tblProductos[STOCK_ACTUAL],MATCH(E484,tblProductos[ITEM],0)),""))</f>
        <v/>
      </c>
    </row>
    <row r="485" spans="1:19" x14ac:dyDescent="0.3">
      <c r="A485" s="40"/>
      <c r="B485" s="14" t="str">
        <f t="shared" si="35"/>
        <v/>
      </c>
      <c r="C485" s="14" t="str">
        <f>IF(D485="","",IFERROR(INDEX(tblClientes[ID],MATCH(D485,tblClientes[NOMBRE],0)),""))</f>
        <v/>
      </c>
      <c r="D485" s="14"/>
      <c r="E485" s="14"/>
      <c r="F485" s="14" t="str">
        <f>IF(E485="","",IFERROR(INDEX(tblProductos[CATEGORIA],MATCH(E485,tblProductos[ITEM],0)),""))</f>
        <v/>
      </c>
      <c r="G485" s="15"/>
      <c r="H485" s="16"/>
      <c r="I485" s="16" t="str">
        <f>IF(E485="","",IFERROR(INDEX(tblProductos[PRECIO_VENTA],MATCH(E485,tblProductos[ITEM],0)),""))</f>
        <v/>
      </c>
      <c r="J485" s="16" t="str">
        <f t="shared" si="36"/>
        <v/>
      </c>
      <c r="K485" s="16" t="str">
        <f t="shared" si="37"/>
        <v/>
      </c>
      <c r="L485" s="16" t="str">
        <f>IF(E485="","",IFERROR(INDEX(tblProductos[COSTO TOTAL],MATCH(E485,tblProductos[ITEM],0)),""))</f>
        <v/>
      </c>
      <c r="M485" s="16" t="str">
        <f t="shared" si="38"/>
        <v/>
      </c>
      <c r="N485" s="16" t="str">
        <f t="shared" si="39"/>
        <v/>
      </c>
      <c r="O485" s="14" t="s">
        <v>34</v>
      </c>
      <c r="P485" s="14" t="s">
        <v>35</v>
      </c>
      <c r="Q485" s="14" t="s">
        <v>36</v>
      </c>
      <c r="R485" s="14"/>
      <c r="S485" t="str">
        <f>IF(E485="","",IFERROR(INDEX(tblProductos[STOCK_ACTUAL],MATCH(E485,tblProductos[ITEM],0)),""))</f>
        <v/>
      </c>
    </row>
    <row r="486" spans="1:19" x14ac:dyDescent="0.3">
      <c r="A486" s="40"/>
      <c r="B486" s="14" t="str">
        <f t="shared" si="35"/>
        <v/>
      </c>
      <c r="C486" s="14" t="str">
        <f>IF(D486="","",IFERROR(INDEX(tblClientes[ID],MATCH(D486,tblClientes[NOMBRE],0)),""))</f>
        <v/>
      </c>
      <c r="D486" s="14"/>
      <c r="E486" s="14"/>
      <c r="F486" s="14" t="str">
        <f>IF(E486="","",IFERROR(INDEX(tblProductos[CATEGORIA],MATCH(E486,tblProductos[ITEM],0)),""))</f>
        <v/>
      </c>
      <c r="G486" s="15"/>
      <c r="H486" s="16"/>
      <c r="I486" s="16" t="str">
        <f>IF(E486="","",IFERROR(INDEX(tblProductos[PRECIO_VENTA],MATCH(E486,tblProductos[ITEM],0)),""))</f>
        <v/>
      </c>
      <c r="J486" s="16" t="str">
        <f t="shared" si="36"/>
        <v/>
      </c>
      <c r="K486" s="16" t="str">
        <f t="shared" si="37"/>
        <v/>
      </c>
      <c r="L486" s="16" t="str">
        <f>IF(E486="","",IFERROR(INDEX(tblProductos[COSTO TOTAL],MATCH(E486,tblProductos[ITEM],0)),""))</f>
        <v/>
      </c>
      <c r="M486" s="16" t="str">
        <f t="shared" si="38"/>
        <v/>
      </c>
      <c r="N486" s="16" t="str">
        <f t="shared" si="39"/>
        <v/>
      </c>
      <c r="O486" s="14" t="s">
        <v>34</v>
      </c>
      <c r="P486" s="14" t="s">
        <v>35</v>
      </c>
      <c r="Q486" s="14" t="s">
        <v>36</v>
      </c>
      <c r="R486" s="14"/>
      <c r="S486" t="str">
        <f>IF(E486="","",IFERROR(INDEX(tblProductos[STOCK_ACTUAL],MATCH(E486,tblProductos[ITEM],0)),""))</f>
        <v/>
      </c>
    </row>
    <row r="487" spans="1:19" x14ac:dyDescent="0.3">
      <c r="A487" s="40"/>
      <c r="B487" s="14" t="str">
        <f t="shared" si="35"/>
        <v/>
      </c>
      <c r="C487" s="14" t="str">
        <f>IF(D487="","",IFERROR(INDEX(tblClientes[ID],MATCH(D487,tblClientes[NOMBRE],0)),""))</f>
        <v/>
      </c>
      <c r="D487" s="14"/>
      <c r="E487" s="14"/>
      <c r="F487" s="14" t="str">
        <f>IF(E487="","",IFERROR(INDEX(tblProductos[CATEGORIA],MATCH(E487,tblProductos[ITEM],0)),""))</f>
        <v/>
      </c>
      <c r="G487" s="15"/>
      <c r="H487" s="16"/>
      <c r="I487" s="16" t="str">
        <f>IF(E487="","",IFERROR(INDEX(tblProductos[PRECIO_VENTA],MATCH(E487,tblProductos[ITEM],0)),""))</f>
        <v/>
      </c>
      <c r="J487" s="16" t="str">
        <f t="shared" si="36"/>
        <v/>
      </c>
      <c r="K487" s="16" t="str">
        <f t="shared" si="37"/>
        <v/>
      </c>
      <c r="L487" s="16" t="str">
        <f>IF(E487="","",IFERROR(INDEX(tblProductos[COSTO TOTAL],MATCH(E487,tblProductos[ITEM],0)),""))</f>
        <v/>
      </c>
      <c r="M487" s="16" t="str">
        <f t="shared" si="38"/>
        <v/>
      </c>
      <c r="N487" s="16" t="str">
        <f t="shared" si="39"/>
        <v/>
      </c>
      <c r="O487" s="14" t="s">
        <v>34</v>
      </c>
      <c r="P487" s="14" t="s">
        <v>35</v>
      </c>
      <c r="Q487" s="14" t="s">
        <v>36</v>
      </c>
      <c r="R487" s="14"/>
      <c r="S487" t="str">
        <f>IF(E487="","",IFERROR(INDEX(tblProductos[STOCK_ACTUAL],MATCH(E487,tblProductos[ITEM],0)),""))</f>
        <v/>
      </c>
    </row>
    <row r="488" spans="1:19" x14ac:dyDescent="0.3">
      <c r="A488" s="40"/>
      <c r="B488" s="14" t="str">
        <f t="shared" si="35"/>
        <v/>
      </c>
      <c r="C488" s="14" t="str">
        <f>IF(D488="","",IFERROR(INDEX(tblClientes[ID],MATCH(D488,tblClientes[NOMBRE],0)),""))</f>
        <v/>
      </c>
      <c r="D488" s="14"/>
      <c r="E488" s="14"/>
      <c r="F488" s="14" t="str">
        <f>IF(E488="","",IFERROR(INDEX(tblProductos[CATEGORIA],MATCH(E488,tblProductos[ITEM],0)),""))</f>
        <v/>
      </c>
      <c r="G488" s="15"/>
      <c r="H488" s="16"/>
      <c r="I488" s="16" t="str">
        <f>IF(E488="","",IFERROR(INDEX(tblProductos[PRECIO_VENTA],MATCH(E488,tblProductos[ITEM],0)),""))</f>
        <v/>
      </c>
      <c r="J488" s="16" t="str">
        <f t="shared" si="36"/>
        <v/>
      </c>
      <c r="K488" s="16" t="str">
        <f t="shared" si="37"/>
        <v/>
      </c>
      <c r="L488" s="16" t="str">
        <f>IF(E488="","",IFERROR(INDEX(tblProductos[COSTO TOTAL],MATCH(E488,tblProductos[ITEM],0)),""))</f>
        <v/>
      </c>
      <c r="M488" s="16" t="str">
        <f t="shared" si="38"/>
        <v/>
      </c>
      <c r="N488" s="16" t="str">
        <f t="shared" si="39"/>
        <v/>
      </c>
      <c r="O488" s="14" t="s">
        <v>34</v>
      </c>
      <c r="P488" s="14" t="s">
        <v>35</v>
      </c>
      <c r="Q488" s="14" t="s">
        <v>36</v>
      </c>
      <c r="R488" s="14"/>
      <c r="S488" t="str">
        <f>IF(E488="","",IFERROR(INDEX(tblProductos[STOCK_ACTUAL],MATCH(E488,tblProductos[ITEM],0)),""))</f>
        <v/>
      </c>
    </row>
    <row r="489" spans="1:19" x14ac:dyDescent="0.3">
      <c r="A489" s="40"/>
      <c r="B489" s="14" t="str">
        <f t="shared" si="35"/>
        <v/>
      </c>
      <c r="C489" s="14" t="str">
        <f>IF(D489="","",IFERROR(INDEX(tblClientes[ID],MATCH(D489,tblClientes[NOMBRE],0)),""))</f>
        <v/>
      </c>
      <c r="D489" s="14"/>
      <c r="E489" s="14"/>
      <c r="F489" s="14" t="str">
        <f>IF(E489="","",IFERROR(INDEX(tblProductos[CATEGORIA],MATCH(E489,tblProductos[ITEM],0)),""))</f>
        <v/>
      </c>
      <c r="G489" s="15"/>
      <c r="H489" s="16"/>
      <c r="I489" s="16" t="str">
        <f>IF(E489="","",IFERROR(INDEX(tblProductos[PRECIO_VENTA],MATCH(E489,tblProductos[ITEM],0)),""))</f>
        <v/>
      </c>
      <c r="J489" s="16" t="str">
        <f t="shared" si="36"/>
        <v/>
      </c>
      <c r="K489" s="16" t="str">
        <f t="shared" si="37"/>
        <v/>
      </c>
      <c r="L489" s="16" t="str">
        <f>IF(E489="","",IFERROR(INDEX(tblProductos[COSTO TOTAL],MATCH(E489,tblProductos[ITEM],0)),""))</f>
        <v/>
      </c>
      <c r="M489" s="16" t="str">
        <f t="shared" si="38"/>
        <v/>
      </c>
      <c r="N489" s="16" t="str">
        <f t="shared" si="39"/>
        <v/>
      </c>
      <c r="O489" s="14" t="s">
        <v>34</v>
      </c>
      <c r="P489" s="14" t="s">
        <v>35</v>
      </c>
      <c r="Q489" s="14" t="s">
        <v>36</v>
      </c>
      <c r="R489" s="14"/>
      <c r="S489" t="str">
        <f>IF(E489="","",IFERROR(INDEX(tblProductos[STOCK_ACTUAL],MATCH(E489,tblProductos[ITEM],0)),""))</f>
        <v/>
      </c>
    </row>
    <row r="490" spans="1:19" x14ac:dyDescent="0.3">
      <c r="A490" s="40"/>
      <c r="B490" s="14" t="str">
        <f t="shared" si="35"/>
        <v/>
      </c>
      <c r="C490" s="14" t="str">
        <f>IF(D490="","",IFERROR(INDEX(tblClientes[ID],MATCH(D490,tblClientes[NOMBRE],0)),""))</f>
        <v/>
      </c>
      <c r="D490" s="14"/>
      <c r="E490" s="14"/>
      <c r="F490" s="14" t="str">
        <f>IF(E490="","",IFERROR(INDEX(tblProductos[CATEGORIA],MATCH(E490,tblProductos[ITEM],0)),""))</f>
        <v/>
      </c>
      <c r="G490" s="15"/>
      <c r="H490" s="16"/>
      <c r="I490" s="16" t="str">
        <f>IF(E490="","",IFERROR(INDEX(tblProductos[PRECIO_VENTA],MATCH(E490,tblProductos[ITEM],0)),""))</f>
        <v/>
      </c>
      <c r="J490" s="16" t="str">
        <f t="shared" si="36"/>
        <v/>
      </c>
      <c r="K490" s="16" t="str">
        <f t="shared" si="37"/>
        <v/>
      </c>
      <c r="L490" s="16" t="str">
        <f>IF(E490="","",IFERROR(INDEX(tblProductos[COSTO TOTAL],MATCH(E490,tblProductos[ITEM],0)),""))</f>
        <v/>
      </c>
      <c r="M490" s="16" t="str">
        <f t="shared" si="38"/>
        <v/>
      </c>
      <c r="N490" s="16" t="str">
        <f t="shared" si="39"/>
        <v/>
      </c>
      <c r="O490" s="14" t="s">
        <v>34</v>
      </c>
      <c r="P490" s="14" t="s">
        <v>35</v>
      </c>
      <c r="Q490" s="14" t="s">
        <v>36</v>
      </c>
      <c r="R490" s="14"/>
      <c r="S490" t="str">
        <f>IF(E490="","",IFERROR(INDEX(tblProductos[STOCK_ACTUAL],MATCH(E490,tblProductos[ITEM],0)),""))</f>
        <v/>
      </c>
    </row>
    <row r="491" spans="1:19" x14ac:dyDescent="0.3">
      <c r="A491" s="40"/>
      <c r="B491" s="14" t="str">
        <f t="shared" si="35"/>
        <v/>
      </c>
      <c r="C491" s="14" t="str">
        <f>IF(D491="","",IFERROR(INDEX(tblClientes[ID],MATCH(D491,tblClientes[NOMBRE],0)),""))</f>
        <v/>
      </c>
      <c r="D491" s="14"/>
      <c r="E491" s="14"/>
      <c r="F491" s="14" t="str">
        <f>IF(E491="","",IFERROR(INDEX(tblProductos[CATEGORIA],MATCH(E491,tblProductos[ITEM],0)),""))</f>
        <v/>
      </c>
      <c r="G491" s="15"/>
      <c r="H491" s="16"/>
      <c r="I491" s="16" t="str">
        <f>IF(E491="","",IFERROR(INDEX(tblProductos[PRECIO_VENTA],MATCH(E491,tblProductos[ITEM],0)),""))</f>
        <v/>
      </c>
      <c r="J491" s="16" t="str">
        <f t="shared" si="36"/>
        <v/>
      </c>
      <c r="K491" s="16" t="str">
        <f t="shared" si="37"/>
        <v/>
      </c>
      <c r="L491" s="16" t="str">
        <f>IF(E491="","",IFERROR(INDEX(tblProductos[COSTO TOTAL],MATCH(E491,tblProductos[ITEM],0)),""))</f>
        <v/>
      </c>
      <c r="M491" s="16" t="str">
        <f t="shared" si="38"/>
        <v/>
      </c>
      <c r="N491" s="16" t="str">
        <f t="shared" si="39"/>
        <v/>
      </c>
      <c r="O491" s="14" t="s">
        <v>34</v>
      </c>
      <c r="P491" s="14" t="s">
        <v>35</v>
      </c>
      <c r="Q491" s="14" t="s">
        <v>36</v>
      </c>
      <c r="R491" s="14"/>
      <c r="S491" t="str">
        <f>IF(E491="","",IFERROR(INDEX(tblProductos[STOCK_ACTUAL],MATCH(E491,tblProductos[ITEM],0)),""))</f>
        <v/>
      </c>
    </row>
    <row r="492" spans="1:19" x14ac:dyDescent="0.3">
      <c r="A492" s="40"/>
      <c r="B492" s="14" t="str">
        <f t="shared" si="35"/>
        <v/>
      </c>
      <c r="C492" s="14" t="str">
        <f>IF(D492="","",IFERROR(INDEX(tblClientes[ID],MATCH(D492,tblClientes[NOMBRE],0)),""))</f>
        <v/>
      </c>
      <c r="D492" s="14"/>
      <c r="E492" s="14"/>
      <c r="F492" s="14" t="str">
        <f>IF(E492="","",IFERROR(INDEX(tblProductos[CATEGORIA],MATCH(E492,tblProductos[ITEM],0)),""))</f>
        <v/>
      </c>
      <c r="G492" s="15"/>
      <c r="H492" s="16"/>
      <c r="I492" s="16" t="str">
        <f>IF(E492="","",IFERROR(INDEX(tblProductos[PRECIO_VENTA],MATCH(E492,tblProductos[ITEM],0)),""))</f>
        <v/>
      </c>
      <c r="J492" s="16" t="str">
        <f t="shared" si="36"/>
        <v/>
      </c>
      <c r="K492" s="16" t="str">
        <f t="shared" si="37"/>
        <v/>
      </c>
      <c r="L492" s="16" t="str">
        <f>IF(E492="","",IFERROR(INDEX(tblProductos[COSTO TOTAL],MATCH(E492,tblProductos[ITEM],0)),""))</f>
        <v/>
      </c>
      <c r="M492" s="16" t="str">
        <f t="shared" si="38"/>
        <v/>
      </c>
      <c r="N492" s="16" t="str">
        <f t="shared" si="39"/>
        <v/>
      </c>
      <c r="O492" s="14" t="s">
        <v>34</v>
      </c>
      <c r="P492" s="14" t="s">
        <v>35</v>
      </c>
      <c r="Q492" s="14" t="s">
        <v>36</v>
      </c>
      <c r="R492" s="14"/>
      <c r="S492" t="str">
        <f>IF(E492="","",IFERROR(INDEX(tblProductos[STOCK_ACTUAL],MATCH(E492,tblProductos[ITEM],0)),""))</f>
        <v/>
      </c>
    </row>
    <row r="493" spans="1:19" x14ac:dyDescent="0.3">
      <c r="A493" s="40"/>
      <c r="B493" s="14" t="str">
        <f t="shared" si="35"/>
        <v/>
      </c>
      <c r="C493" s="14" t="str">
        <f>IF(D493="","",IFERROR(INDEX(tblClientes[ID],MATCH(D493,tblClientes[NOMBRE],0)),""))</f>
        <v/>
      </c>
      <c r="D493" s="14"/>
      <c r="E493" s="14"/>
      <c r="F493" s="14" t="str">
        <f>IF(E493="","",IFERROR(INDEX(tblProductos[CATEGORIA],MATCH(E493,tblProductos[ITEM],0)),""))</f>
        <v/>
      </c>
      <c r="G493" s="15"/>
      <c r="H493" s="16"/>
      <c r="I493" s="16" t="str">
        <f>IF(E493="","",IFERROR(INDEX(tblProductos[PRECIO_VENTA],MATCH(E493,tblProductos[ITEM],0)),""))</f>
        <v/>
      </c>
      <c r="J493" s="16" t="str">
        <f t="shared" si="36"/>
        <v/>
      </c>
      <c r="K493" s="16" t="str">
        <f t="shared" si="37"/>
        <v/>
      </c>
      <c r="L493" s="16" t="str">
        <f>IF(E493="","",IFERROR(INDEX(tblProductos[COSTO TOTAL],MATCH(E493,tblProductos[ITEM],0)),""))</f>
        <v/>
      </c>
      <c r="M493" s="16" t="str">
        <f t="shared" si="38"/>
        <v/>
      </c>
      <c r="N493" s="16" t="str">
        <f t="shared" si="39"/>
        <v/>
      </c>
      <c r="O493" s="14" t="s">
        <v>34</v>
      </c>
      <c r="P493" s="14" t="s">
        <v>35</v>
      </c>
      <c r="Q493" s="14" t="s">
        <v>36</v>
      </c>
      <c r="R493" s="14"/>
      <c r="S493" t="str">
        <f>IF(E493="","",IFERROR(INDEX(tblProductos[STOCK_ACTUAL],MATCH(E493,tblProductos[ITEM],0)),""))</f>
        <v/>
      </c>
    </row>
    <row r="494" spans="1:19" x14ac:dyDescent="0.3">
      <c r="A494" s="40"/>
      <c r="B494" s="14" t="str">
        <f t="shared" si="35"/>
        <v/>
      </c>
      <c r="C494" s="14" t="str">
        <f>IF(D494="","",IFERROR(INDEX(tblClientes[ID],MATCH(D494,tblClientes[NOMBRE],0)),""))</f>
        <v/>
      </c>
      <c r="D494" s="14"/>
      <c r="E494" s="14"/>
      <c r="F494" s="14" t="str">
        <f>IF(E494="","",IFERROR(INDEX(tblProductos[CATEGORIA],MATCH(E494,tblProductos[ITEM],0)),""))</f>
        <v/>
      </c>
      <c r="G494" s="15"/>
      <c r="H494" s="16"/>
      <c r="I494" s="16" t="str">
        <f>IF(E494="","",IFERROR(INDEX(tblProductos[PRECIO_VENTA],MATCH(E494,tblProductos[ITEM],0)),""))</f>
        <v/>
      </c>
      <c r="J494" s="16" t="str">
        <f t="shared" si="36"/>
        <v/>
      </c>
      <c r="K494" s="16" t="str">
        <f t="shared" si="37"/>
        <v/>
      </c>
      <c r="L494" s="16" t="str">
        <f>IF(E494="","",IFERROR(INDEX(tblProductos[COSTO TOTAL],MATCH(E494,tblProductos[ITEM],0)),""))</f>
        <v/>
      </c>
      <c r="M494" s="16" t="str">
        <f t="shared" si="38"/>
        <v/>
      </c>
      <c r="N494" s="16" t="str">
        <f t="shared" si="39"/>
        <v/>
      </c>
      <c r="O494" s="14" t="s">
        <v>34</v>
      </c>
      <c r="P494" s="14" t="s">
        <v>35</v>
      </c>
      <c r="Q494" s="14" t="s">
        <v>36</v>
      </c>
      <c r="R494" s="14"/>
      <c r="S494" t="str">
        <f>IF(E494="","",IFERROR(INDEX(tblProductos[STOCK_ACTUAL],MATCH(E494,tblProductos[ITEM],0)),""))</f>
        <v/>
      </c>
    </row>
    <row r="495" spans="1:19" x14ac:dyDescent="0.3">
      <c r="A495" s="40"/>
      <c r="B495" s="14" t="str">
        <f t="shared" si="35"/>
        <v/>
      </c>
      <c r="C495" s="14" t="str">
        <f>IF(D495="","",IFERROR(INDEX(tblClientes[ID],MATCH(D495,tblClientes[NOMBRE],0)),""))</f>
        <v/>
      </c>
      <c r="D495" s="14"/>
      <c r="E495" s="14"/>
      <c r="F495" s="14" t="str">
        <f>IF(E495="","",IFERROR(INDEX(tblProductos[CATEGORIA],MATCH(E495,tblProductos[ITEM],0)),""))</f>
        <v/>
      </c>
      <c r="G495" s="15"/>
      <c r="H495" s="16"/>
      <c r="I495" s="16" t="str">
        <f>IF(E495="","",IFERROR(INDEX(tblProductos[PRECIO_VENTA],MATCH(E495,tblProductos[ITEM],0)),""))</f>
        <v/>
      </c>
      <c r="J495" s="16" t="str">
        <f t="shared" si="36"/>
        <v/>
      </c>
      <c r="K495" s="16" t="str">
        <f t="shared" si="37"/>
        <v/>
      </c>
      <c r="L495" s="16" t="str">
        <f>IF(E495="","",IFERROR(INDEX(tblProductos[COSTO TOTAL],MATCH(E495,tblProductos[ITEM],0)),""))</f>
        <v/>
      </c>
      <c r="M495" s="16" t="str">
        <f t="shared" si="38"/>
        <v/>
      </c>
      <c r="N495" s="16" t="str">
        <f t="shared" si="39"/>
        <v/>
      </c>
      <c r="O495" s="14" t="s">
        <v>34</v>
      </c>
      <c r="P495" s="14" t="s">
        <v>35</v>
      </c>
      <c r="Q495" s="14" t="s">
        <v>36</v>
      </c>
      <c r="R495" s="14"/>
      <c r="S495" t="str">
        <f>IF(E495="","",IFERROR(INDEX(tblProductos[STOCK_ACTUAL],MATCH(E495,tblProductos[ITEM],0)),""))</f>
        <v/>
      </c>
    </row>
    <row r="496" spans="1:19" x14ac:dyDescent="0.3">
      <c r="A496" s="40"/>
      <c r="B496" s="14" t="str">
        <f t="shared" si="35"/>
        <v/>
      </c>
      <c r="C496" s="14" t="str">
        <f>IF(D496="","",IFERROR(INDEX(tblClientes[ID],MATCH(D496,tblClientes[NOMBRE],0)),""))</f>
        <v/>
      </c>
      <c r="D496" s="14"/>
      <c r="E496" s="14"/>
      <c r="F496" s="14" t="str">
        <f>IF(E496="","",IFERROR(INDEX(tblProductos[CATEGORIA],MATCH(E496,tblProductos[ITEM],0)),""))</f>
        <v/>
      </c>
      <c r="G496" s="15"/>
      <c r="H496" s="16"/>
      <c r="I496" s="16" t="str">
        <f>IF(E496="","",IFERROR(INDEX(tblProductos[PRECIO_VENTA],MATCH(E496,tblProductos[ITEM],0)),""))</f>
        <v/>
      </c>
      <c r="J496" s="16" t="str">
        <f t="shared" si="36"/>
        <v/>
      </c>
      <c r="K496" s="16" t="str">
        <f t="shared" si="37"/>
        <v/>
      </c>
      <c r="L496" s="16" t="str">
        <f>IF(E496="","",IFERROR(INDEX(tblProductos[COSTO TOTAL],MATCH(E496,tblProductos[ITEM],0)),""))</f>
        <v/>
      </c>
      <c r="M496" s="16" t="str">
        <f t="shared" si="38"/>
        <v/>
      </c>
      <c r="N496" s="16" t="str">
        <f t="shared" si="39"/>
        <v/>
      </c>
      <c r="O496" s="14" t="s">
        <v>34</v>
      </c>
      <c r="P496" s="14" t="s">
        <v>35</v>
      </c>
      <c r="Q496" s="14" t="s">
        <v>36</v>
      </c>
      <c r="R496" s="14"/>
      <c r="S496" t="str">
        <f>IF(E496="","",IFERROR(INDEX(tblProductos[STOCK_ACTUAL],MATCH(E496,tblProductos[ITEM],0)),""))</f>
        <v/>
      </c>
    </row>
    <row r="497" spans="1:19" x14ac:dyDescent="0.3">
      <c r="A497" s="40"/>
      <c r="B497" s="14" t="str">
        <f t="shared" si="35"/>
        <v/>
      </c>
      <c r="C497" s="14" t="str">
        <f>IF(D497="","",IFERROR(INDEX(tblClientes[ID],MATCH(D497,tblClientes[NOMBRE],0)),""))</f>
        <v/>
      </c>
      <c r="D497" s="14"/>
      <c r="E497" s="14"/>
      <c r="F497" s="14" t="str">
        <f>IF(E497="","",IFERROR(INDEX(tblProductos[CATEGORIA],MATCH(E497,tblProductos[ITEM],0)),""))</f>
        <v/>
      </c>
      <c r="G497" s="15"/>
      <c r="H497" s="16"/>
      <c r="I497" s="16" t="str">
        <f>IF(E497="","",IFERROR(INDEX(tblProductos[PRECIO_VENTA],MATCH(E497,tblProductos[ITEM],0)),""))</f>
        <v/>
      </c>
      <c r="J497" s="16" t="str">
        <f t="shared" si="36"/>
        <v/>
      </c>
      <c r="K497" s="16" t="str">
        <f t="shared" si="37"/>
        <v/>
      </c>
      <c r="L497" s="16" t="str">
        <f>IF(E497="","",IFERROR(INDEX(tblProductos[COSTO TOTAL],MATCH(E497,tblProductos[ITEM],0)),""))</f>
        <v/>
      </c>
      <c r="M497" s="16" t="str">
        <f t="shared" si="38"/>
        <v/>
      </c>
      <c r="N497" s="16" t="str">
        <f t="shared" si="39"/>
        <v/>
      </c>
      <c r="O497" s="14" t="s">
        <v>34</v>
      </c>
      <c r="P497" s="14" t="s">
        <v>35</v>
      </c>
      <c r="Q497" s="14" t="s">
        <v>36</v>
      </c>
      <c r="R497" s="14"/>
      <c r="S497" t="str">
        <f>IF(E497="","",IFERROR(INDEX(tblProductos[STOCK_ACTUAL],MATCH(E497,tblProductos[ITEM],0)),""))</f>
        <v/>
      </c>
    </row>
    <row r="498" spans="1:19" x14ac:dyDescent="0.3">
      <c r="A498" s="40"/>
      <c r="B498" s="14" t="str">
        <f t="shared" si="35"/>
        <v/>
      </c>
      <c r="C498" s="14" t="str">
        <f>IF(D498="","",IFERROR(INDEX(tblClientes[ID],MATCH(D498,tblClientes[NOMBRE],0)),""))</f>
        <v/>
      </c>
      <c r="D498" s="14"/>
      <c r="E498" s="14"/>
      <c r="F498" s="14" t="str">
        <f>IF(E498="","",IFERROR(INDEX(tblProductos[CATEGORIA],MATCH(E498,tblProductos[ITEM],0)),""))</f>
        <v/>
      </c>
      <c r="G498" s="15"/>
      <c r="H498" s="16"/>
      <c r="I498" s="16" t="str">
        <f>IF(E498="","",IFERROR(INDEX(tblProductos[PRECIO_VENTA],MATCH(E498,tblProductos[ITEM],0)),""))</f>
        <v/>
      </c>
      <c r="J498" s="16" t="str">
        <f t="shared" si="36"/>
        <v/>
      </c>
      <c r="K498" s="16" t="str">
        <f t="shared" si="37"/>
        <v/>
      </c>
      <c r="L498" s="16" t="str">
        <f>IF(E498="","",IFERROR(INDEX(tblProductos[COSTO TOTAL],MATCH(E498,tblProductos[ITEM],0)),""))</f>
        <v/>
      </c>
      <c r="M498" s="16" t="str">
        <f t="shared" si="38"/>
        <v/>
      </c>
      <c r="N498" s="16" t="str">
        <f t="shared" si="39"/>
        <v/>
      </c>
      <c r="O498" s="14" t="s">
        <v>34</v>
      </c>
      <c r="P498" s="14" t="s">
        <v>35</v>
      </c>
      <c r="Q498" s="14" t="s">
        <v>36</v>
      </c>
      <c r="R498" s="14"/>
      <c r="S498" t="str">
        <f>IF(E498="","",IFERROR(INDEX(tblProductos[STOCK_ACTUAL],MATCH(E498,tblProductos[ITEM],0)),""))</f>
        <v/>
      </c>
    </row>
    <row r="499" spans="1:19" x14ac:dyDescent="0.3">
      <c r="A499" s="40"/>
      <c r="B499" s="14" t="str">
        <f t="shared" si="35"/>
        <v/>
      </c>
      <c r="C499" s="14" t="str">
        <f>IF(D499="","",IFERROR(INDEX(tblClientes[ID],MATCH(D499,tblClientes[NOMBRE],0)),""))</f>
        <v/>
      </c>
      <c r="D499" s="14"/>
      <c r="E499" s="14"/>
      <c r="F499" s="14" t="str">
        <f>IF(E499="","",IFERROR(INDEX(tblProductos[CATEGORIA],MATCH(E499,tblProductos[ITEM],0)),""))</f>
        <v/>
      </c>
      <c r="G499" s="15"/>
      <c r="H499" s="16"/>
      <c r="I499" s="16" t="str">
        <f>IF(E499="","",IFERROR(INDEX(tblProductos[PRECIO_VENTA],MATCH(E499,tblProductos[ITEM],0)),""))</f>
        <v/>
      </c>
      <c r="J499" s="16" t="str">
        <f t="shared" si="36"/>
        <v/>
      </c>
      <c r="K499" s="16" t="str">
        <f t="shared" si="37"/>
        <v/>
      </c>
      <c r="L499" s="16" t="str">
        <f>IF(E499="","",IFERROR(INDEX(tblProductos[COSTO TOTAL],MATCH(E499,tblProductos[ITEM],0)),""))</f>
        <v/>
      </c>
      <c r="M499" s="16" t="str">
        <f t="shared" si="38"/>
        <v/>
      </c>
      <c r="N499" s="16" t="str">
        <f t="shared" si="39"/>
        <v/>
      </c>
      <c r="O499" s="14" t="s">
        <v>34</v>
      </c>
      <c r="P499" s="14" t="s">
        <v>35</v>
      </c>
      <c r="Q499" s="14" t="s">
        <v>36</v>
      </c>
      <c r="R499" s="14"/>
      <c r="S499" t="str">
        <f>IF(E499="","",IFERROR(INDEX(tblProductos[STOCK_ACTUAL],MATCH(E499,tblProductos[ITEM],0)),""))</f>
        <v/>
      </c>
    </row>
    <row r="500" spans="1:19" x14ac:dyDescent="0.3">
      <c r="A500" s="40"/>
      <c r="B500" s="14" t="str">
        <f t="shared" si="35"/>
        <v/>
      </c>
      <c r="C500" s="14" t="str">
        <f>IF(D500="","",IFERROR(INDEX(tblClientes[ID],MATCH(D500,tblClientes[NOMBRE],0)),""))</f>
        <v/>
      </c>
      <c r="D500" s="14"/>
      <c r="E500" s="14"/>
      <c r="F500" s="14" t="str">
        <f>IF(E500="","",IFERROR(INDEX(tblProductos[CATEGORIA],MATCH(E500,tblProductos[ITEM],0)),""))</f>
        <v/>
      </c>
      <c r="G500" s="15"/>
      <c r="H500" s="16"/>
      <c r="I500" s="16" t="str">
        <f>IF(E500="","",IFERROR(INDEX(tblProductos[PRECIO_VENTA],MATCH(E500,tblProductos[ITEM],0)),""))</f>
        <v/>
      </c>
      <c r="J500" s="16" t="str">
        <f t="shared" si="36"/>
        <v/>
      </c>
      <c r="K500" s="16" t="str">
        <f t="shared" si="37"/>
        <v/>
      </c>
      <c r="L500" s="16" t="str">
        <f>IF(E500="","",IFERROR(INDEX(tblProductos[COSTO TOTAL],MATCH(E500,tblProductos[ITEM],0)),""))</f>
        <v/>
      </c>
      <c r="M500" s="16" t="str">
        <f t="shared" si="38"/>
        <v/>
      </c>
      <c r="N500" s="16" t="str">
        <f t="shared" si="39"/>
        <v/>
      </c>
      <c r="O500" s="14" t="s">
        <v>34</v>
      </c>
      <c r="P500" s="14" t="s">
        <v>35</v>
      </c>
      <c r="Q500" s="14" t="s">
        <v>36</v>
      </c>
      <c r="R500" s="14"/>
      <c r="S500" t="str">
        <f>IF(E500="","",IFERROR(INDEX(tblProductos[STOCK_ACTUAL],MATCH(E500,tblProductos[ITEM],0)),""))</f>
        <v/>
      </c>
    </row>
    <row r="501" spans="1:19" x14ac:dyDescent="0.3">
      <c r="A501" s="40"/>
      <c r="B501" s="14" t="str">
        <f t="shared" si="35"/>
        <v/>
      </c>
      <c r="C501" s="14" t="str">
        <f>IF(D501="","",IFERROR(INDEX(tblClientes[ID],MATCH(D501,tblClientes[NOMBRE],0)),""))</f>
        <v/>
      </c>
      <c r="D501" s="14"/>
      <c r="E501" s="14"/>
      <c r="F501" s="14" t="str">
        <f>IF(E501="","",IFERROR(INDEX(tblProductos[CATEGORIA],MATCH(E501,tblProductos[ITEM],0)),""))</f>
        <v/>
      </c>
      <c r="G501" s="15"/>
      <c r="H501" s="16"/>
      <c r="I501" s="16" t="str">
        <f>IF(E501="","",IFERROR(INDEX(tblProductos[PRECIO_VENTA],MATCH(E501,tblProductos[ITEM],0)),""))</f>
        <v/>
      </c>
      <c r="J501" s="16" t="str">
        <f t="shared" si="36"/>
        <v/>
      </c>
      <c r="K501" s="16" t="str">
        <f t="shared" si="37"/>
        <v/>
      </c>
      <c r="L501" s="16" t="str">
        <f>IF(E501="","",IFERROR(INDEX(tblProductos[COSTO TOTAL],MATCH(E501,tblProductos[ITEM],0)),""))</f>
        <v/>
      </c>
      <c r="M501" s="16" t="str">
        <f t="shared" si="38"/>
        <v/>
      </c>
      <c r="N501" s="16" t="str">
        <f t="shared" si="39"/>
        <v/>
      </c>
      <c r="O501" s="14" t="s">
        <v>34</v>
      </c>
      <c r="P501" s="14" t="s">
        <v>35</v>
      </c>
      <c r="Q501" s="14" t="s">
        <v>36</v>
      </c>
      <c r="R501" s="14"/>
      <c r="S501" t="str">
        <f>IF(E501="","",IFERROR(INDEX(tblProductos[STOCK_ACTUAL],MATCH(E501,tblProductos[ITEM],0)),""))</f>
        <v/>
      </c>
    </row>
  </sheetData>
  <conditionalFormatting sqref="G2:G501">
    <cfRule type="expression" dxfId="3" priority="2">
      <formula>AND($G2&gt;0,$S2&gt;0,$G2&gt;$S2)</formula>
    </cfRule>
  </conditionalFormatting>
  <conditionalFormatting sqref="S2:S501">
    <cfRule type="cellIs" dxfId="2" priority="1" operator="lessThan">
      <formula>10</formula>
    </cfRule>
  </conditionalFormatting>
  <dataValidations count="5">
    <dataValidation type="list" allowBlank="1" sqref="E2:E501" xr:uid="{00000000-0002-0000-0200-000000000000}">
      <formula1>lstProductos</formula1>
    </dataValidation>
    <dataValidation type="list" allowBlank="1" sqref="O2:O501" xr:uid="{00000000-0002-0000-0200-000001000000}">
      <formula1>lstMetodosPago</formula1>
    </dataValidation>
    <dataValidation type="list" allowBlank="1" sqref="P2:P501" xr:uid="{00000000-0002-0000-0200-000002000000}">
      <formula1>lstCuentas</formula1>
    </dataValidation>
    <dataValidation type="list" allowBlank="1" sqref="Q2:Q501" xr:uid="{00000000-0002-0000-0200-000003000000}">
      <formula1>lstEstado</formula1>
    </dataValidation>
    <dataValidation type="list" allowBlank="1" showDropDown="1" errorTitle="Cliente invalido" error="Selecciona un cliente de la lista." promptTitle="Cliente" prompt="Elegi un cliente existente." sqref="D2:D501" xr:uid="{00000000-0002-0000-0200-000004000000}">
      <formula1>lstClientesNombres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1"/>
  <sheetViews>
    <sheetView showGridLines="0" workbookViewId="0">
      <pane ySplit="1" topLeftCell="A382" activePane="bottomLeft" state="frozen"/>
      <selection pane="bottomLeft" activeCell="D389" sqref="D389"/>
    </sheetView>
  </sheetViews>
  <sheetFormatPr baseColWidth="10" defaultColWidth="8.88671875" defaultRowHeight="14.4" x14ac:dyDescent="0.3"/>
  <cols>
    <col min="1" max="1" width="11.109375" bestFit="1" customWidth="1"/>
    <col min="2" max="2" width="15.33203125" bestFit="1" customWidth="1"/>
    <col min="3" max="3" width="15.77734375" bestFit="1" customWidth="1"/>
    <col min="4" max="4" width="14.88671875" bestFit="1" customWidth="1"/>
    <col min="5" max="5" width="15.109375" bestFit="1" customWidth="1"/>
    <col min="6" max="6" width="14.109375" bestFit="1" customWidth="1"/>
    <col min="7" max="7" width="16.109375" bestFit="1" customWidth="1"/>
    <col min="8" max="8" width="17.5546875" bestFit="1" customWidth="1"/>
    <col min="9" max="9" width="18.33203125" bestFit="1" customWidth="1"/>
    <col min="10" max="10" width="12.21875" bestFit="1" customWidth="1"/>
    <col min="11" max="11" width="11.21875" bestFit="1" customWidth="1"/>
  </cols>
  <sheetData>
    <row r="1" spans="1:11" ht="28.8" x14ac:dyDescent="0.3">
      <c r="A1" s="12" t="s">
        <v>13</v>
      </c>
      <c r="B1" s="12" t="s">
        <v>39</v>
      </c>
      <c r="C1" s="12" t="s">
        <v>40</v>
      </c>
      <c r="D1" s="12" t="s">
        <v>17</v>
      </c>
      <c r="E1" s="12" t="s">
        <v>18</v>
      </c>
      <c r="F1" s="12" t="s">
        <v>19</v>
      </c>
      <c r="G1" s="12" t="s">
        <v>24</v>
      </c>
      <c r="H1" s="12" t="s">
        <v>41</v>
      </c>
      <c r="I1" s="12" t="s">
        <v>27</v>
      </c>
      <c r="J1" s="12" t="s">
        <v>28</v>
      </c>
      <c r="K1" s="12" t="s">
        <v>30</v>
      </c>
    </row>
    <row r="2" spans="1:11" x14ac:dyDescent="0.3">
      <c r="A2" s="13"/>
      <c r="B2" s="14" t="str">
        <f t="shared" ref="B2:B65" si="0">IF(A2="","", "C"&amp;TEXT(A2,"yymmdd")&amp;"-"&amp;TEXT(ROW()-1,"0000"))</f>
        <v/>
      </c>
      <c r="C2" s="14"/>
      <c r="D2" s="14"/>
      <c r="E2" s="14" t="str">
        <f>IF(D2="","",IFERROR(INDEX(tblProductos[CATEGORIA],MATCH(D2,tblProductos[ITEM],0)),""))</f>
        <v/>
      </c>
      <c r="F2" s="15"/>
      <c r="G2" s="16" t="str">
        <f>IF(D2="","",IFERROR(INDEX(tblProductos[COSTO TOTAL],MATCH(D2,tblProductos[ITEM],0)),""))</f>
        <v/>
      </c>
      <c r="H2" s="16" t="str">
        <f t="shared" ref="H2:H65" si="1">IF(F2="","",F2*G2)</f>
        <v/>
      </c>
      <c r="I2" s="14" t="s">
        <v>42</v>
      </c>
      <c r="J2" s="14" t="s">
        <v>43</v>
      </c>
      <c r="K2" s="14"/>
    </row>
    <row r="3" spans="1:11" x14ac:dyDescent="0.3">
      <c r="A3" s="13"/>
      <c r="B3" s="14" t="str">
        <f t="shared" si="0"/>
        <v/>
      </c>
      <c r="C3" s="14"/>
      <c r="D3" s="14"/>
      <c r="E3" s="14" t="str">
        <f>IF(D3="","",IFERROR(INDEX(tblProductos[CATEGORIA],MATCH(D3,tblProductos[ITEM],0)),""))</f>
        <v/>
      </c>
      <c r="F3" s="15"/>
      <c r="G3" s="16" t="str">
        <f>IF(D3="","",IFERROR(INDEX(tblProductos[COSTO TOTAL],MATCH(D3,tblProductos[ITEM],0)),""))</f>
        <v/>
      </c>
      <c r="H3" s="16" t="str">
        <f t="shared" si="1"/>
        <v/>
      </c>
      <c r="I3" s="14" t="s">
        <v>42</v>
      </c>
      <c r="J3" s="14" t="s">
        <v>43</v>
      </c>
      <c r="K3" s="14"/>
    </row>
    <row r="4" spans="1:11" x14ac:dyDescent="0.3">
      <c r="A4" s="13"/>
      <c r="B4" s="14" t="str">
        <f t="shared" si="0"/>
        <v/>
      </c>
      <c r="C4" s="14"/>
      <c r="D4" s="14"/>
      <c r="E4" s="14" t="str">
        <f>IF(D4="","",IFERROR(INDEX(tblProductos[CATEGORIA],MATCH(D4,tblProductos[ITEM],0)),""))</f>
        <v/>
      </c>
      <c r="F4" s="15"/>
      <c r="G4" s="16" t="str">
        <f>IF(D4="","",IFERROR(INDEX(tblProductos[COSTO TOTAL],MATCH(D4,tblProductos[ITEM],0)),""))</f>
        <v/>
      </c>
      <c r="H4" s="16" t="str">
        <f t="shared" si="1"/>
        <v/>
      </c>
      <c r="I4" s="14" t="s">
        <v>42</v>
      </c>
      <c r="J4" s="14" t="s">
        <v>43</v>
      </c>
      <c r="K4" s="14"/>
    </row>
    <row r="5" spans="1:11" x14ac:dyDescent="0.3">
      <c r="A5" s="13"/>
      <c r="B5" s="14" t="str">
        <f t="shared" si="0"/>
        <v/>
      </c>
      <c r="C5" s="14"/>
      <c r="D5" s="14"/>
      <c r="E5" s="14" t="str">
        <f>IF(D5="","",IFERROR(INDEX(tblProductos[CATEGORIA],MATCH(D5,tblProductos[ITEM],0)),""))</f>
        <v/>
      </c>
      <c r="F5" s="15"/>
      <c r="G5" s="16" t="str">
        <f>IF(D5="","",IFERROR(INDEX(tblProductos[COSTO TOTAL],MATCH(D5,tblProductos[ITEM],0)),""))</f>
        <v/>
      </c>
      <c r="H5" s="16" t="str">
        <f t="shared" si="1"/>
        <v/>
      </c>
      <c r="I5" s="14" t="s">
        <v>42</v>
      </c>
      <c r="J5" s="14" t="s">
        <v>43</v>
      </c>
      <c r="K5" s="14"/>
    </row>
    <row r="6" spans="1:11" x14ac:dyDescent="0.3">
      <c r="A6" s="13"/>
      <c r="B6" s="14" t="str">
        <f t="shared" si="0"/>
        <v/>
      </c>
      <c r="C6" s="14"/>
      <c r="D6" s="14"/>
      <c r="E6" s="14" t="str">
        <f>IF(D6="","",IFERROR(INDEX(tblProductos[CATEGORIA],MATCH(D6,tblProductos[ITEM],0)),""))</f>
        <v/>
      </c>
      <c r="F6" s="15"/>
      <c r="G6" s="16" t="str">
        <f>IF(D6="","",IFERROR(INDEX(tblProductos[COSTO TOTAL],MATCH(D6,tblProductos[ITEM],0)),""))</f>
        <v/>
      </c>
      <c r="H6" s="16" t="str">
        <f t="shared" si="1"/>
        <v/>
      </c>
      <c r="I6" s="14" t="s">
        <v>42</v>
      </c>
      <c r="J6" s="14" t="s">
        <v>43</v>
      </c>
      <c r="K6" s="14"/>
    </row>
    <row r="7" spans="1:11" x14ac:dyDescent="0.3">
      <c r="A7" s="13"/>
      <c r="B7" s="14" t="str">
        <f t="shared" si="0"/>
        <v/>
      </c>
      <c r="C7" s="14"/>
      <c r="D7" s="14"/>
      <c r="E7" s="14" t="str">
        <f>IF(D7="","",IFERROR(INDEX(tblProductos[CATEGORIA],MATCH(D7,tblProductos[ITEM],0)),""))</f>
        <v/>
      </c>
      <c r="F7" s="15"/>
      <c r="G7" s="16" t="str">
        <f>IF(D7="","",IFERROR(INDEX(tblProductos[COSTO TOTAL],MATCH(D7,tblProductos[ITEM],0)),""))</f>
        <v/>
      </c>
      <c r="H7" s="16" t="str">
        <f t="shared" si="1"/>
        <v/>
      </c>
      <c r="I7" s="14" t="s">
        <v>42</v>
      </c>
      <c r="J7" s="14" t="s">
        <v>43</v>
      </c>
      <c r="K7" s="14"/>
    </row>
    <row r="8" spans="1:11" x14ac:dyDescent="0.3">
      <c r="A8" s="13"/>
      <c r="B8" s="14" t="str">
        <f t="shared" si="0"/>
        <v/>
      </c>
      <c r="C8" s="14"/>
      <c r="D8" s="14"/>
      <c r="E8" s="14" t="str">
        <f>IF(D8="","",IFERROR(INDEX(tblProductos[CATEGORIA],MATCH(D8,tblProductos[ITEM],0)),""))</f>
        <v/>
      </c>
      <c r="F8" s="15"/>
      <c r="G8" s="16" t="str">
        <f>IF(D8="","",IFERROR(INDEX(tblProductos[COSTO TOTAL],MATCH(D8,tblProductos[ITEM],0)),""))</f>
        <v/>
      </c>
      <c r="H8" s="16" t="str">
        <f t="shared" si="1"/>
        <v/>
      </c>
      <c r="I8" s="14" t="s">
        <v>42</v>
      </c>
      <c r="J8" s="14" t="s">
        <v>43</v>
      </c>
      <c r="K8" s="14"/>
    </row>
    <row r="9" spans="1:11" x14ac:dyDescent="0.3">
      <c r="A9" s="13"/>
      <c r="B9" s="14" t="str">
        <f t="shared" si="0"/>
        <v/>
      </c>
      <c r="C9" s="14"/>
      <c r="D9" s="14"/>
      <c r="E9" s="14" t="str">
        <f>IF(D9="","",IFERROR(INDEX(tblProductos[CATEGORIA],MATCH(D9,tblProductos[ITEM],0)),""))</f>
        <v/>
      </c>
      <c r="F9" s="15"/>
      <c r="G9" s="16" t="str">
        <f>IF(D9="","",IFERROR(INDEX(tblProductos[COSTO TOTAL],MATCH(D9,tblProductos[ITEM],0)),""))</f>
        <v/>
      </c>
      <c r="H9" s="16" t="str">
        <f t="shared" si="1"/>
        <v/>
      </c>
      <c r="I9" s="14" t="s">
        <v>42</v>
      </c>
      <c r="J9" s="14" t="s">
        <v>43</v>
      </c>
      <c r="K9" s="14"/>
    </row>
    <row r="10" spans="1:11" x14ac:dyDescent="0.3">
      <c r="A10" s="13"/>
      <c r="B10" s="14" t="str">
        <f t="shared" si="0"/>
        <v/>
      </c>
      <c r="C10" s="14"/>
      <c r="D10" s="14"/>
      <c r="E10" s="14" t="str">
        <f>IF(D10="","",IFERROR(INDEX(tblProductos[CATEGORIA],MATCH(D10,tblProductos[ITEM],0)),""))</f>
        <v/>
      </c>
      <c r="F10" s="15"/>
      <c r="G10" s="16" t="str">
        <f>IF(D10="","",IFERROR(INDEX(tblProductos[COSTO TOTAL],MATCH(D10,tblProductos[ITEM],0)),""))</f>
        <v/>
      </c>
      <c r="H10" s="16" t="str">
        <f t="shared" si="1"/>
        <v/>
      </c>
      <c r="I10" s="14" t="s">
        <v>42</v>
      </c>
      <c r="J10" s="14" t="s">
        <v>43</v>
      </c>
      <c r="K10" s="14"/>
    </row>
    <row r="11" spans="1:11" x14ac:dyDescent="0.3">
      <c r="A11" s="13"/>
      <c r="B11" s="14" t="str">
        <f t="shared" si="0"/>
        <v/>
      </c>
      <c r="C11" s="14"/>
      <c r="D11" s="14"/>
      <c r="E11" s="14" t="str">
        <f>IF(D11="","",IFERROR(INDEX(tblProductos[CATEGORIA],MATCH(D11,tblProductos[ITEM],0)),""))</f>
        <v/>
      </c>
      <c r="F11" s="15"/>
      <c r="G11" s="16" t="str">
        <f>IF(D11="","",IFERROR(INDEX(tblProductos[COSTO TOTAL],MATCH(D11,tblProductos[ITEM],0)),""))</f>
        <v/>
      </c>
      <c r="H11" s="16" t="str">
        <f t="shared" si="1"/>
        <v/>
      </c>
      <c r="I11" s="14" t="s">
        <v>42</v>
      </c>
      <c r="J11" s="14" t="s">
        <v>43</v>
      </c>
      <c r="K11" s="14"/>
    </row>
    <row r="12" spans="1:11" x14ac:dyDescent="0.3">
      <c r="A12" s="13"/>
      <c r="B12" s="14" t="str">
        <f t="shared" si="0"/>
        <v/>
      </c>
      <c r="C12" s="14"/>
      <c r="D12" s="14"/>
      <c r="E12" s="14" t="str">
        <f>IF(D12="","",IFERROR(INDEX(tblProductos[CATEGORIA],MATCH(D12,tblProductos[ITEM],0)),""))</f>
        <v/>
      </c>
      <c r="F12" s="15"/>
      <c r="G12" s="16" t="str">
        <f>IF(D12="","",IFERROR(INDEX(tblProductos[COSTO TOTAL],MATCH(D12,tblProductos[ITEM],0)),""))</f>
        <v/>
      </c>
      <c r="H12" s="16" t="str">
        <f t="shared" si="1"/>
        <v/>
      </c>
      <c r="I12" s="14" t="s">
        <v>42</v>
      </c>
      <c r="J12" s="14" t="s">
        <v>43</v>
      </c>
      <c r="K12" s="14"/>
    </row>
    <row r="13" spans="1:11" x14ac:dyDescent="0.3">
      <c r="A13" s="13"/>
      <c r="B13" s="14" t="str">
        <f t="shared" si="0"/>
        <v/>
      </c>
      <c r="C13" s="14"/>
      <c r="D13" s="14"/>
      <c r="E13" s="14" t="str">
        <f>IF(D13="","",IFERROR(INDEX(tblProductos[CATEGORIA],MATCH(D13,tblProductos[ITEM],0)),""))</f>
        <v/>
      </c>
      <c r="F13" s="15"/>
      <c r="G13" s="16" t="str">
        <f>IF(D13="","",IFERROR(INDEX(tblProductos[COSTO TOTAL],MATCH(D13,tblProductos[ITEM],0)),""))</f>
        <v/>
      </c>
      <c r="H13" s="16" t="str">
        <f t="shared" si="1"/>
        <v/>
      </c>
      <c r="I13" s="14" t="s">
        <v>42</v>
      </c>
      <c r="J13" s="14" t="s">
        <v>43</v>
      </c>
      <c r="K13" s="14"/>
    </row>
    <row r="14" spans="1:11" x14ac:dyDescent="0.3">
      <c r="A14" s="13"/>
      <c r="B14" s="14" t="str">
        <f t="shared" si="0"/>
        <v/>
      </c>
      <c r="C14" s="14"/>
      <c r="D14" s="14"/>
      <c r="E14" s="14" t="str">
        <f>IF(D14="","",IFERROR(INDEX(tblProductos[CATEGORIA],MATCH(D14,tblProductos[ITEM],0)),""))</f>
        <v/>
      </c>
      <c r="F14" s="15"/>
      <c r="G14" s="16" t="str">
        <f>IF(D14="","",IFERROR(INDEX(tblProductos[COSTO TOTAL],MATCH(D14,tblProductos[ITEM],0)),""))</f>
        <v/>
      </c>
      <c r="H14" s="16" t="str">
        <f t="shared" si="1"/>
        <v/>
      </c>
      <c r="I14" s="14" t="s">
        <v>42</v>
      </c>
      <c r="J14" s="14" t="s">
        <v>43</v>
      </c>
      <c r="K14" s="14"/>
    </row>
    <row r="15" spans="1:11" x14ac:dyDescent="0.3">
      <c r="A15" s="13"/>
      <c r="B15" s="14" t="str">
        <f t="shared" si="0"/>
        <v/>
      </c>
      <c r="C15" s="14"/>
      <c r="D15" s="14"/>
      <c r="E15" s="14" t="str">
        <f>IF(D15="","",IFERROR(INDEX(tblProductos[CATEGORIA],MATCH(D15,tblProductos[ITEM],0)),""))</f>
        <v/>
      </c>
      <c r="F15" s="15"/>
      <c r="G15" s="16" t="str">
        <f>IF(D15="","",IFERROR(INDEX(tblProductos[COSTO TOTAL],MATCH(D15,tblProductos[ITEM],0)),""))</f>
        <v/>
      </c>
      <c r="H15" s="16" t="str">
        <f t="shared" si="1"/>
        <v/>
      </c>
      <c r="I15" s="14" t="s">
        <v>42</v>
      </c>
      <c r="J15" s="14" t="s">
        <v>43</v>
      </c>
      <c r="K15" s="14"/>
    </row>
    <row r="16" spans="1:11" x14ac:dyDescent="0.3">
      <c r="A16" s="13"/>
      <c r="B16" s="14" t="str">
        <f t="shared" si="0"/>
        <v/>
      </c>
      <c r="C16" s="14"/>
      <c r="D16" s="14"/>
      <c r="E16" s="14" t="str">
        <f>IF(D16="","",IFERROR(INDEX(tblProductos[CATEGORIA],MATCH(D16,tblProductos[ITEM],0)),""))</f>
        <v/>
      </c>
      <c r="F16" s="15"/>
      <c r="G16" s="16" t="str">
        <f>IF(D16="","",IFERROR(INDEX(tblProductos[COSTO TOTAL],MATCH(D16,tblProductos[ITEM],0)),""))</f>
        <v/>
      </c>
      <c r="H16" s="16" t="str">
        <f t="shared" si="1"/>
        <v/>
      </c>
      <c r="I16" s="14" t="s">
        <v>42</v>
      </c>
      <c r="J16" s="14" t="s">
        <v>43</v>
      </c>
      <c r="K16" s="14"/>
    </row>
    <row r="17" spans="1:11" x14ac:dyDescent="0.3">
      <c r="A17" s="13"/>
      <c r="B17" s="14" t="str">
        <f t="shared" si="0"/>
        <v/>
      </c>
      <c r="C17" s="14"/>
      <c r="D17" s="14"/>
      <c r="E17" s="14" t="str">
        <f>IF(D17="","",IFERROR(INDEX(tblProductos[CATEGORIA],MATCH(D17,tblProductos[ITEM],0)),""))</f>
        <v/>
      </c>
      <c r="F17" s="15"/>
      <c r="G17" s="16" t="str">
        <f>IF(D17="","",IFERROR(INDEX(tblProductos[COSTO TOTAL],MATCH(D17,tblProductos[ITEM],0)),""))</f>
        <v/>
      </c>
      <c r="H17" s="16" t="str">
        <f t="shared" si="1"/>
        <v/>
      </c>
      <c r="I17" s="14" t="s">
        <v>42</v>
      </c>
      <c r="J17" s="14" t="s">
        <v>43</v>
      </c>
      <c r="K17" s="14"/>
    </row>
    <row r="18" spans="1:11" x14ac:dyDescent="0.3">
      <c r="A18" s="13"/>
      <c r="B18" s="14" t="str">
        <f t="shared" si="0"/>
        <v/>
      </c>
      <c r="C18" s="14"/>
      <c r="D18" s="14"/>
      <c r="E18" s="14" t="str">
        <f>IF(D18="","",IFERROR(INDEX(tblProductos[CATEGORIA],MATCH(D18,tblProductos[ITEM],0)),""))</f>
        <v/>
      </c>
      <c r="F18" s="15"/>
      <c r="G18" s="16" t="str">
        <f>IF(D18="","",IFERROR(INDEX(tblProductos[COSTO TOTAL],MATCH(D18,tblProductos[ITEM],0)),""))</f>
        <v/>
      </c>
      <c r="H18" s="16" t="str">
        <f t="shared" si="1"/>
        <v/>
      </c>
      <c r="I18" s="14" t="s">
        <v>42</v>
      </c>
      <c r="J18" s="14" t="s">
        <v>43</v>
      </c>
      <c r="K18" s="14"/>
    </row>
    <row r="19" spans="1:11" x14ac:dyDescent="0.3">
      <c r="A19" s="13"/>
      <c r="B19" s="14" t="str">
        <f t="shared" si="0"/>
        <v/>
      </c>
      <c r="C19" s="14"/>
      <c r="D19" s="14"/>
      <c r="E19" s="14" t="str">
        <f>IF(D19="","",IFERROR(INDEX(tblProductos[CATEGORIA],MATCH(D19,tblProductos[ITEM],0)),""))</f>
        <v/>
      </c>
      <c r="F19" s="15"/>
      <c r="G19" s="16" t="str">
        <f>IF(D19="","",IFERROR(INDEX(tblProductos[COSTO TOTAL],MATCH(D19,tblProductos[ITEM],0)),""))</f>
        <v/>
      </c>
      <c r="H19" s="16" t="str">
        <f t="shared" si="1"/>
        <v/>
      </c>
      <c r="I19" s="14" t="s">
        <v>42</v>
      </c>
      <c r="J19" s="14" t="s">
        <v>43</v>
      </c>
      <c r="K19" s="14"/>
    </row>
    <row r="20" spans="1:11" x14ac:dyDescent="0.3">
      <c r="A20" s="13"/>
      <c r="B20" s="14" t="str">
        <f t="shared" si="0"/>
        <v/>
      </c>
      <c r="C20" s="14"/>
      <c r="D20" s="14"/>
      <c r="E20" s="14" t="str">
        <f>IF(D20="","",IFERROR(INDEX(tblProductos[CATEGORIA],MATCH(D20,tblProductos[ITEM],0)),""))</f>
        <v/>
      </c>
      <c r="F20" s="15"/>
      <c r="G20" s="16" t="str">
        <f>IF(D20="","",IFERROR(INDEX(tblProductos[COSTO TOTAL],MATCH(D20,tblProductos[ITEM],0)),""))</f>
        <v/>
      </c>
      <c r="H20" s="16" t="str">
        <f t="shared" si="1"/>
        <v/>
      </c>
      <c r="I20" s="14" t="s">
        <v>42</v>
      </c>
      <c r="J20" s="14" t="s">
        <v>43</v>
      </c>
      <c r="K20" s="14"/>
    </row>
    <row r="21" spans="1:11" x14ac:dyDescent="0.3">
      <c r="A21" s="13"/>
      <c r="B21" s="14" t="str">
        <f t="shared" si="0"/>
        <v/>
      </c>
      <c r="C21" s="14"/>
      <c r="D21" s="14"/>
      <c r="E21" s="14" t="str">
        <f>IF(D21="","",IFERROR(INDEX(tblProductos[CATEGORIA],MATCH(D21,tblProductos[ITEM],0)),""))</f>
        <v/>
      </c>
      <c r="F21" s="15"/>
      <c r="G21" s="16" t="str">
        <f>IF(D21="","",IFERROR(INDEX(tblProductos[COSTO TOTAL],MATCH(D21,tblProductos[ITEM],0)),""))</f>
        <v/>
      </c>
      <c r="H21" s="16" t="str">
        <f t="shared" si="1"/>
        <v/>
      </c>
      <c r="I21" s="14" t="s">
        <v>42</v>
      </c>
      <c r="J21" s="14" t="s">
        <v>43</v>
      </c>
      <c r="K21" s="14"/>
    </row>
    <row r="22" spans="1:11" x14ac:dyDescent="0.3">
      <c r="A22" s="13"/>
      <c r="B22" s="14" t="str">
        <f t="shared" si="0"/>
        <v/>
      </c>
      <c r="C22" s="14"/>
      <c r="D22" s="14"/>
      <c r="E22" s="14" t="str">
        <f>IF(D22="","",IFERROR(INDEX(tblProductos[CATEGORIA],MATCH(D22,tblProductos[ITEM],0)),""))</f>
        <v/>
      </c>
      <c r="F22" s="15"/>
      <c r="G22" s="16" t="str">
        <f>IF(D22="","",IFERROR(INDEX(tblProductos[COSTO TOTAL],MATCH(D22,tblProductos[ITEM],0)),""))</f>
        <v/>
      </c>
      <c r="H22" s="16" t="str">
        <f t="shared" si="1"/>
        <v/>
      </c>
      <c r="I22" s="14" t="s">
        <v>42</v>
      </c>
      <c r="J22" s="14" t="s">
        <v>43</v>
      </c>
      <c r="K22" s="14"/>
    </row>
    <row r="23" spans="1:11" x14ac:dyDescent="0.3">
      <c r="A23" s="13"/>
      <c r="B23" s="14" t="str">
        <f t="shared" si="0"/>
        <v/>
      </c>
      <c r="C23" s="14"/>
      <c r="D23" s="14"/>
      <c r="E23" s="14" t="str">
        <f>IF(D23="","",IFERROR(INDEX(tblProductos[CATEGORIA],MATCH(D23,tblProductos[ITEM],0)),""))</f>
        <v/>
      </c>
      <c r="F23" s="15"/>
      <c r="G23" s="16" t="str">
        <f>IF(D23="","",IFERROR(INDEX(tblProductos[COSTO TOTAL],MATCH(D23,tblProductos[ITEM],0)),""))</f>
        <v/>
      </c>
      <c r="H23" s="16" t="str">
        <f t="shared" si="1"/>
        <v/>
      </c>
      <c r="I23" s="14" t="s">
        <v>42</v>
      </c>
      <c r="J23" s="14" t="s">
        <v>43</v>
      </c>
      <c r="K23" s="14"/>
    </row>
    <row r="24" spans="1:11" x14ac:dyDescent="0.3">
      <c r="A24" s="13"/>
      <c r="B24" s="14" t="str">
        <f t="shared" si="0"/>
        <v/>
      </c>
      <c r="C24" s="14"/>
      <c r="D24" s="14"/>
      <c r="E24" s="14" t="str">
        <f>IF(D24="","",IFERROR(INDEX(tblProductos[CATEGORIA],MATCH(D24,tblProductos[ITEM],0)),""))</f>
        <v/>
      </c>
      <c r="F24" s="15"/>
      <c r="G24" s="16" t="str">
        <f>IF(D24="","",IFERROR(INDEX(tblProductos[COSTO TOTAL],MATCH(D24,tblProductos[ITEM],0)),""))</f>
        <v/>
      </c>
      <c r="H24" s="16" t="str">
        <f t="shared" si="1"/>
        <v/>
      </c>
      <c r="I24" s="14" t="s">
        <v>42</v>
      </c>
      <c r="J24" s="14" t="s">
        <v>43</v>
      </c>
      <c r="K24" s="14"/>
    </row>
    <row r="25" spans="1:11" x14ac:dyDescent="0.3">
      <c r="A25" s="13"/>
      <c r="B25" s="14" t="str">
        <f t="shared" si="0"/>
        <v/>
      </c>
      <c r="C25" s="14"/>
      <c r="D25" s="14"/>
      <c r="E25" s="14" t="str">
        <f>IF(D25="","",IFERROR(INDEX(tblProductos[CATEGORIA],MATCH(D25,tblProductos[ITEM],0)),""))</f>
        <v/>
      </c>
      <c r="F25" s="15"/>
      <c r="G25" s="16" t="str">
        <f>IF(D25="","",IFERROR(INDEX(tblProductos[COSTO TOTAL],MATCH(D25,tblProductos[ITEM],0)),""))</f>
        <v/>
      </c>
      <c r="H25" s="16" t="str">
        <f t="shared" si="1"/>
        <v/>
      </c>
      <c r="I25" s="14" t="s">
        <v>42</v>
      </c>
      <c r="J25" s="14" t="s">
        <v>43</v>
      </c>
      <c r="K25" s="14"/>
    </row>
    <row r="26" spans="1:11" x14ac:dyDescent="0.3">
      <c r="A26" s="13"/>
      <c r="B26" s="14" t="str">
        <f t="shared" si="0"/>
        <v/>
      </c>
      <c r="C26" s="14"/>
      <c r="D26" s="14"/>
      <c r="E26" s="14" t="str">
        <f>IF(D26="","",IFERROR(INDEX(tblProductos[CATEGORIA],MATCH(D26,tblProductos[ITEM],0)),""))</f>
        <v/>
      </c>
      <c r="F26" s="15"/>
      <c r="G26" s="16" t="str">
        <f>IF(D26="","",IFERROR(INDEX(tblProductos[COSTO TOTAL],MATCH(D26,tblProductos[ITEM],0)),""))</f>
        <v/>
      </c>
      <c r="H26" s="16" t="str">
        <f t="shared" si="1"/>
        <v/>
      </c>
      <c r="I26" s="14" t="s">
        <v>42</v>
      </c>
      <c r="J26" s="14" t="s">
        <v>43</v>
      </c>
      <c r="K26" s="14"/>
    </row>
    <row r="27" spans="1:11" x14ac:dyDescent="0.3">
      <c r="A27" s="13"/>
      <c r="B27" s="14" t="str">
        <f t="shared" si="0"/>
        <v/>
      </c>
      <c r="C27" s="14"/>
      <c r="D27" s="14"/>
      <c r="E27" s="14" t="str">
        <f>IF(D27="","",IFERROR(INDEX(tblProductos[CATEGORIA],MATCH(D27,tblProductos[ITEM],0)),""))</f>
        <v/>
      </c>
      <c r="F27" s="15"/>
      <c r="G27" s="16" t="str">
        <f>IF(D27="","",IFERROR(INDEX(tblProductos[COSTO TOTAL],MATCH(D27,tblProductos[ITEM],0)),""))</f>
        <v/>
      </c>
      <c r="H27" s="16" t="str">
        <f t="shared" si="1"/>
        <v/>
      </c>
      <c r="I27" s="14" t="s">
        <v>42</v>
      </c>
      <c r="J27" s="14" t="s">
        <v>43</v>
      </c>
      <c r="K27" s="14"/>
    </row>
    <row r="28" spans="1:11" x14ac:dyDescent="0.3">
      <c r="A28" s="13"/>
      <c r="B28" s="14" t="str">
        <f t="shared" si="0"/>
        <v/>
      </c>
      <c r="C28" s="14"/>
      <c r="D28" s="14"/>
      <c r="E28" s="14" t="str">
        <f>IF(D28="","",IFERROR(INDEX(tblProductos[CATEGORIA],MATCH(D28,tblProductos[ITEM],0)),""))</f>
        <v/>
      </c>
      <c r="F28" s="15"/>
      <c r="G28" s="16" t="str">
        <f>IF(D28="","",IFERROR(INDEX(tblProductos[COSTO TOTAL],MATCH(D28,tblProductos[ITEM],0)),""))</f>
        <v/>
      </c>
      <c r="H28" s="16" t="str">
        <f t="shared" si="1"/>
        <v/>
      </c>
      <c r="I28" s="14" t="s">
        <v>42</v>
      </c>
      <c r="J28" s="14" t="s">
        <v>43</v>
      </c>
      <c r="K28" s="14"/>
    </row>
    <row r="29" spans="1:11" x14ac:dyDescent="0.3">
      <c r="A29" s="13"/>
      <c r="B29" s="14" t="str">
        <f t="shared" si="0"/>
        <v/>
      </c>
      <c r="C29" s="14"/>
      <c r="D29" s="14"/>
      <c r="E29" s="14" t="str">
        <f>IF(D29="","",IFERROR(INDEX(tblProductos[CATEGORIA],MATCH(D29,tblProductos[ITEM],0)),""))</f>
        <v/>
      </c>
      <c r="F29" s="15"/>
      <c r="G29" s="16" t="str">
        <f>IF(D29="","",IFERROR(INDEX(tblProductos[COSTO TOTAL],MATCH(D29,tblProductos[ITEM],0)),""))</f>
        <v/>
      </c>
      <c r="H29" s="16" t="str">
        <f t="shared" si="1"/>
        <v/>
      </c>
      <c r="I29" s="14" t="s">
        <v>42</v>
      </c>
      <c r="J29" s="14" t="s">
        <v>43</v>
      </c>
      <c r="K29" s="14"/>
    </row>
    <row r="30" spans="1:11" x14ac:dyDescent="0.3">
      <c r="A30" s="13"/>
      <c r="B30" s="14" t="str">
        <f t="shared" si="0"/>
        <v/>
      </c>
      <c r="C30" s="14"/>
      <c r="D30" s="14"/>
      <c r="E30" s="14" t="str">
        <f>IF(D30="","",IFERROR(INDEX(tblProductos[CATEGORIA],MATCH(D30,tblProductos[ITEM],0)),""))</f>
        <v/>
      </c>
      <c r="F30" s="15"/>
      <c r="G30" s="16" t="str">
        <f>IF(D30="","",IFERROR(INDEX(tblProductos[COSTO TOTAL],MATCH(D30,tblProductos[ITEM],0)),""))</f>
        <v/>
      </c>
      <c r="H30" s="16" t="str">
        <f t="shared" si="1"/>
        <v/>
      </c>
      <c r="I30" s="14" t="s">
        <v>42</v>
      </c>
      <c r="J30" s="14" t="s">
        <v>43</v>
      </c>
      <c r="K30" s="14"/>
    </row>
    <row r="31" spans="1:11" x14ac:dyDescent="0.3">
      <c r="A31" s="13"/>
      <c r="B31" s="14" t="str">
        <f t="shared" si="0"/>
        <v/>
      </c>
      <c r="C31" s="14"/>
      <c r="D31" s="14"/>
      <c r="E31" s="14" t="str">
        <f>IF(D31="","",IFERROR(INDEX(tblProductos[CATEGORIA],MATCH(D31,tblProductos[ITEM],0)),""))</f>
        <v/>
      </c>
      <c r="F31" s="15"/>
      <c r="G31" s="16" t="str">
        <f>IF(D31="","",IFERROR(INDEX(tblProductos[COSTO TOTAL],MATCH(D31,tblProductos[ITEM],0)),""))</f>
        <v/>
      </c>
      <c r="H31" s="16" t="str">
        <f t="shared" si="1"/>
        <v/>
      </c>
      <c r="I31" s="14" t="s">
        <v>42</v>
      </c>
      <c r="J31" s="14" t="s">
        <v>43</v>
      </c>
      <c r="K31" s="14"/>
    </row>
    <row r="32" spans="1:11" x14ac:dyDescent="0.3">
      <c r="A32" s="13"/>
      <c r="B32" s="14" t="str">
        <f t="shared" si="0"/>
        <v/>
      </c>
      <c r="C32" s="14"/>
      <c r="D32" s="14"/>
      <c r="E32" s="14" t="str">
        <f>IF(D32="","",IFERROR(INDEX(tblProductos[CATEGORIA],MATCH(D32,tblProductos[ITEM],0)),""))</f>
        <v/>
      </c>
      <c r="F32" s="15"/>
      <c r="G32" s="16" t="str">
        <f>IF(D32="","",IFERROR(INDEX(tblProductos[COSTO TOTAL],MATCH(D32,tblProductos[ITEM],0)),""))</f>
        <v/>
      </c>
      <c r="H32" s="16" t="str">
        <f t="shared" si="1"/>
        <v/>
      </c>
      <c r="I32" s="14" t="s">
        <v>42</v>
      </c>
      <c r="J32" s="14" t="s">
        <v>43</v>
      </c>
      <c r="K32" s="14"/>
    </row>
    <row r="33" spans="1:11" x14ac:dyDescent="0.3">
      <c r="A33" s="13"/>
      <c r="B33" s="14" t="str">
        <f t="shared" si="0"/>
        <v/>
      </c>
      <c r="C33" s="14"/>
      <c r="D33" s="14"/>
      <c r="E33" s="14" t="str">
        <f>IF(D33="","",IFERROR(INDEX(tblProductos[CATEGORIA],MATCH(D33,tblProductos[ITEM],0)),""))</f>
        <v/>
      </c>
      <c r="F33" s="15"/>
      <c r="G33" s="16" t="str">
        <f>IF(D33="","",IFERROR(INDEX(tblProductos[COSTO TOTAL],MATCH(D33,tblProductos[ITEM],0)),""))</f>
        <v/>
      </c>
      <c r="H33" s="16" t="str">
        <f t="shared" si="1"/>
        <v/>
      </c>
      <c r="I33" s="14" t="s">
        <v>42</v>
      </c>
      <c r="J33" s="14" t="s">
        <v>43</v>
      </c>
      <c r="K33" s="14"/>
    </row>
    <row r="34" spans="1:11" x14ac:dyDescent="0.3">
      <c r="A34" s="13"/>
      <c r="B34" s="14" t="str">
        <f t="shared" si="0"/>
        <v/>
      </c>
      <c r="C34" s="14"/>
      <c r="D34" s="14"/>
      <c r="E34" s="14" t="str">
        <f>IF(D34="","",IFERROR(INDEX(tblProductos[CATEGORIA],MATCH(D34,tblProductos[ITEM],0)),""))</f>
        <v/>
      </c>
      <c r="F34" s="15"/>
      <c r="G34" s="16" t="str">
        <f>IF(D34="","",IFERROR(INDEX(tblProductos[COSTO TOTAL],MATCH(D34,tblProductos[ITEM],0)),""))</f>
        <v/>
      </c>
      <c r="H34" s="16" t="str">
        <f t="shared" si="1"/>
        <v/>
      </c>
      <c r="I34" s="14" t="s">
        <v>42</v>
      </c>
      <c r="J34" s="14" t="s">
        <v>43</v>
      </c>
      <c r="K34" s="14"/>
    </row>
    <row r="35" spans="1:11" x14ac:dyDescent="0.3">
      <c r="A35" s="13"/>
      <c r="B35" s="14" t="str">
        <f t="shared" si="0"/>
        <v/>
      </c>
      <c r="C35" s="14"/>
      <c r="D35" s="14"/>
      <c r="E35" s="14" t="str">
        <f>IF(D35="","",IFERROR(INDEX(tblProductos[CATEGORIA],MATCH(D35,tblProductos[ITEM],0)),""))</f>
        <v/>
      </c>
      <c r="F35" s="15"/>
      <c r="G35" s="16" t="str">
        <f>IF(D35="","",IFERROR(INDEX(tblProductos[COSTO TOTAL],MATCH(D35,tblProductos[ITEM],0)),""))</f>
        <v/>
      </c>
      <c r="H35" s="16" t="str">
        <f t="shared" si="1"/>
        <v/>
      </c>
      <c r="I35" s="14" t="s">
        <v>42</v>
      </c>
      <c r="J35" s="14" t="s">
        <v>43</v>
      </c>
      <c r="K35" s="14"/>
    </row>
    <row r="36" spans="1:11" x14ac:dyDescent="0.3">
      <c r="A36" s="13"/>
      <c r="B36" s="14" t="str">
        <f t="shared" si="0"/>
        <v/>
      </c>
      <c r="C36" s="14"/>
      <c r="D36" s="14"/>
      <c r="E36" s="14" t="str">
        <f>IF(D36="","",IFERROR(INDEX(tblProductos[CATEGORIA],MATCH(D36,tblProductos[ITEM],0)),""))</f>
        <v/>
      </c>
      <c r="F36" s="15"/>
      <c r="G36" s="16" t="str">
        <f>IF(D36="","",IFERROR(INDEX(tblProductos[COSTO TOTAL],MATCH(D36,tblProductos[ITEM],0)),""))</f>
        <v/>
      </c>
      <c r="H36" s="16" t="str">
        <f t="shared" si="1"/>
        <v/>
      </c>
      <c r="I36" s="14" t="s">
        <v>42</v>
      </c>
      <c r="J36" s="14" t="s">
        <v>43</v>
      </c>
      <c r="K36" s="14"/>
    </row>
    <row r="37" spans="1:11" x14ac:dyDescent="0.3">
      <c r="A37" s="13"/>
      <c r="B37" s="14" t="str">
        <f t="shared" si="0"/>
        <v/>
      </c>
      <c r="C37" s="14"/>
      <c r="D37" s="14"/>
      <c r="E37" s="14" t="str">
        <f>IF(D37="","",IFERROR(INDEX(tblProductos[CATEGORIA],MATCH(D37,tblProductos[ITEM],0)),""))</f>
        <v/>
      </c>
      <c r="F37" s="15"/>
      <c r="G37" s="16" t="str">
        <f>IF(D37="","",IFERROR(INDEX(tblProductos[COSTO TOTAL],MATCH(D37,tblProductos[ITEM],0)),""))</f>
        <v/>
      </c>
      <c r="H37" s="16" t="str">
        <f t="shared" si="1"/>
        <v/>
      </c>
      <c r="I37" s="14" t="s">
        <v>42</v>
      </c>
      <c r="J37" s="14" t="s">
        <v>43</v>
      </c>
      <c r="K37" s="14"/>
    </row>
    <row r="38" spans="1:11" x14ac:dyDescent="0.3">
      <c r="A38" s="13"/>
      <c r="B38" s="14" t="str">
        <f t="shared" si="0"/>
        <v/>
      </c>
      <c r="C38" s="14"/>
      <c r="D38" s="14"/>
      <c r="E38" s="14" t="str">
        <f>IF(D38="","",IFERROR(INDEX(tblProductos[CATEGORIA],MATCH(D38,tblProductos[ITEM],0)),""))</f>
        <v/>
      </c>
      <c r="F38" s="15"/>
      <c r="G38" s="16" t="str">
        <f>IF(D38="","",IFERROR(INDEX(tblProductos[COSTO TOTAL],MATCH(D38,tblProductos[ITEM],0)),""))</f>
        <v/>
      </c>
      <c r="H38" s="16" t="str">
        <f t="shared" si="1"/>
        <v/>
      </c>
      <c r="I38" s="14" t="s">
        <v>42</v>
      </c>
      <c r="J38" s="14" t="s">
        <v>43</v>
      </c>
      <c r="K38" s="14"/>
    </row>
    <row r="39" spans="1:11" x14ac:dyDescent="0.3">
      <c r="A39" s="13"/>
      <c r="B39" s="14" t="str">
        <f t="shared" si="0"/>
        <v/>
      </c>
      <c r="C39" s="14"/>
      <c r="D39" s="14"/>
      <c r="E39" s="14" t="str">
        <f>IF(D39="","",IFERROR(INDEX(tblProductos[CATEGORIA],MATCH(D39,tblProductos[ITEM],0)),""))</f>
        <v/>
      </c>
      <c r="F39" s="15"/>
      <c r="G39" s="16" t="str">
        <f>IF(D39="","",IFERROR(INDEX(tblProductos[COSTO TOTAL],MATCH(D39,tblProductos[ITEM],0)),""))</f>
        <v/>
      </c>
      <c r="H39" s="16" t="str">
        <f t="shared" si="1"/>
        <v/>
      </c>
      <c r="I39" s="14" t="s">
        <v>42</v>
      </c>
      <c r="J39" s="14" t="s">
        <v>43</v>
      </c>
      <c r="K39" s="14"/>
    </row>
    <row r="40" spans="1:11" x14ac:dyDescent="0.3">
      <c r="A40" s="13"/>
      <c r="B40" s="14" t="str">
        <f t="shared" si="0"/>
        <v/>
      </c>
      <c r="C40" s="14"/>
      <c r="D40" s="14"/>
      <c r="E40" s="14" t="str">
        <f>IF(D40="","",IFERROR(INDEX(tblProductos[CATEGORIA],MATCH(D40,tblProductos[ITEM],0)),""))</f>
        <v/>
      </c>
      <c r="F40" s="15"/>
      <c r="G40" s="16" t="str">
        <f>IF(D40="","",IFERROR(INDEX(tblProductos[COSTO TOTAL],MATCH(D40,tblProductos[ITEM],0)),""))</f>
        <v/>
      </c>
      <c r="H40" s="16" t="str">
        <f t="shared" si="1"/>
        <v/>
      </c>
      <c r="I40" s="14" t="s">
        <v>42</v>
      </c>
      <c r="J40" s="14" t="s">
        <v>43</v>
      </c>
      <c r="K40" s="14"/>
    </row>
    <row r="41" spans="1:11" x14ac:dyDescent="0.3">
      <c r="A41" s="13"/>
      <c r="B41" s="14" t="str">
        <f t="shared" si="0"/>
        <v/>
      </c>
      <c r="C41" s="14"/>
      <c r="D41" s="14"/>
      <c r="E41" s="14" t="str">
        <f>IF(D41="","",IFERROR(INDEX(tblProductos[CATEGORIA],MATCH(D41,tblProductos[ITEM],0)),""))</f>
        <v/>
      </c>
      <c r="F41" s="15"/>
      <c r="G41" s="16" t="str">
        <f>IF(D41="","",IFERROR(INDEX(tblProductos[COSTO TOTAL],MATCH(D41,tblProductos[ITEM],0)),""))</f>
        <v/>
      </c>
      <c r="H41" s="16" t="str">
        <f t="shared" si="1"/>
        <v/>
      </c>
      <c r="I41" s="14" t="s">
        <v>42</v>
      </c>
      <c r="J41" s="14" t="s">
        <v>43</v>
      </c>
      <c r="K41" s="14"/>
    </row>
    <row r="42" spans="1:11" x14ac:dyDescent="0.3">
      <c r="A42" s="13"/>
      <c r="B42" s="14" t="str">
        <f t="shared" si="0"/>
        <v/>
      </c>
      <c r="C42" s="14"/>
      <c r="D42" s="14"/>
      <c r="E42" s="14" t="str">
        <f>IF(D42="","",IFERROR(INDEX(tblProductos[CATEGORIA],MATCH(D42,tblProductos[ITEM],0)),""))</f>
        <v/>
      </c>
      <c r="F42" s="15"/>
      <c r="G42" s="16" t="str">
        <f>IF(D42="","",IFERROR(INDEX(tblProductos[COSTO TOTAL],MATCH(D42,tblProductos[ITEM],0)),""))</f>
        <v/>
      </c>
      <c r="H42" s="16" t="str">
        <f t="shared" si="1"/>
        <v/>
      </c>
      <c r="I42" s="14" t="s">
        <v>42</v>
      </c>
      <c r="J42" s="14" t="s">
        <v>43</v>
      </c>
      <c r="K42" s="14"/>
    </row>
    <row r="43" spans="1:11" x14ac:dyDescent="0.3">
      <c r="A43" s="13"/>
      <c r="B43" s="14" t="str">
        <f t="shared" si="0"/>
        <v/>
      </c>
      <c r="C43" s="14"/>
      <c r="D43" s="14"/>
      <c r="E43" s="14" t="str">
        <f>IF(D43="","",IFERROR(INDEX(tblProductos[CATEGORIA],MATCH(D43,tblProductos[ITEM],0)),""))</f>
        <v/>
      </c>
      <c r="F43" s="15"/>
      <c r="G43" s="16" t="str">
        <f>IF(D43="","",IFERROR(INDEX(tblProductos[COSTO TOTAL],MATCH(D43,tblProductos[ITEM],0)),""))</f>
        <v/>
      </c>
      <c r="H43" s="16" t="str">
        <f t="shared" si="1"/>
        <v/>
      </c>
      <c r="I43" s="14" t="s">
        <v>42</v>
      </c>
      <c r="J43" s="14" t="s">
        <v>43</v>
      </c>
      <c r="K43" s="14"/>
    </row>
    <row r="44" spans="1:11" x14ac:dyDescent="0.3">
      <c r="A44" s="13"/>
      <c r="B44" s="14" t="str">
        <f t="shared" si="0"/>
        <v/>
      </c>
      <c r="C44" s="14"/>
      <c r="D44" s="14"/>
      <c r="E44" s="14" t="str">
        <f>IF(D44="","",IFERROR(INDEX(tblProductos[CATEGORIA],MATCH(D44,tblProductos[ITEM],0)),""))</f>
        <v/>
      </c>
      <c r="F44" s="15"/>
      <c r="G44" s="16" t="str">
        <f>IF(D44="","",IFERROR(INDEX(tblProductos[COSTO TOTAL],MATCH(D44,tblProductos[ITEM],0)),""))</f>
        <v/>
      </c>
      <c r="H44" s="16" t="str">
        <f t="shared" si="1"/>
        <v/>
      </c>
      <c r="I44" s="14" t="s">
        <v>42</v>
      </c>
      <c r="J44" s="14" t="s">
        <v>43</v>
      </c>
      <c r="K44" s="14"/>
    </row>
    <row r="45" spans="1:11" x14ac:dyDescent="0.3">
      <c r="A45" s="13"/>
      <c r="B45" s="14" t="str">
        <f t="shared" si="0"/>
        <v/>
      </c>
      <c r="C45" s="14"/>
      <c r="D45" s="14"/>
      <c r="E45" s="14" t="str">
        <f>IF(D45="","",IFERROR(INDEX(tblProductos[CATEGORIA],MATCH(D45,tblProductos[ITEM],0)),""))</f>
        <v/>
      </c>
      <c r="F45" s="15"/>
      <c r="G45" s="16" t="str">
        <f>IF(D45="","",IFERROR(INDEX(tblProductos[COSTO TOTAL],MATCH(D45,tblProductos[ITEM],0)),""))</f>
        <v/>
      </c>
      <c r="H45" s="16" t="str">
        <f t="shared" si="1"/>
        <v/>
      </c>
      <c r="I45" s="14" t="s">
        <v>42</v>
      </c>
      <c r="J45" s="14" t="s">
        <v>43</v>
      </c>
      <c r="K45" s="14"/>
    </row>
    <row r="46" spans="1:11" x14ac:dyDescent="0.3">
      <c r="A46" s="13"/>
      <c r="B46" s="14" t="str">
        <f t="shared" si="0"/>
        <v/>
      </c>
      <c r="C46" s="14"/>
      <c r="D46" s="14"/>
      <c r="E46" s="14" t="str">
        <f>IF(D46="","",IFERROR(INDEX(tblProductos[CATEGORIA],MATCH(D46,tblProductos[ITEM],0)),""))</f>
        <v/>
      </c>
      <c r="F46" s="15"/>
      <c r="G46" s="16" t="str">
        <f>IF(D46="","",IFERROR(INDEX(tblProductos[COSTO TOTAL],MATCH(D46,tblProductos[ITEM],0)),""))</f>
        <v/>
      </c>
      <c r="H46" s="16" t="str">
        <f t="shared" si="1"/>
        <v/>
      </c>
      <c r="I46" s="14" t="s">
        <v>42</v>
      </c>
      <c r="J46" s="14" t="s">
        <v>43</v>
      </c>
      <c r="K46" s="14"/>
    </row>
    <row r="47" spans="1:11" x14ac:dyDescent="0.3">
      <c r="A47" s="13"/>
      <c r="B47" s="14" t="str">
        <f t="shared" si="0"/>
        <v/>
      </c>
      <c r="C47" s="14"/>
      <c r="D47" s="14"/>
      <c r="E47" s="14" t="str">
        <f>IF(D47="","",IFERROR(INDEX(tblProductos[CATEGORIA],MATCH(D47,tblProductos[ITEM],0)),""))</f>
        <v/>
      </c>
      <c r="F47" s="15"/>
      <c r="G47" s="16" t="str">
        <f>IF(D47="","",IFERROR(INDEX(tblProductos[COSTO TOTAL],MATCH(D47,tblProductos[ITEM],0)),""))</f>
        <v/>
      </c>
      <c r="H47" s="16" t="str">
        <f t="shared" si="1"/>
        <v/>
      </c>
      <c r="I47" s="14" t="s">
        <v>42</v>
      </c>
      <c r="J47" s="14" t="s">
        <v>43</v>
      </c>
      <c r="K47" s="14"/>
    </row>
    <row r="48" spans="1:11" x14ac:dyDescent="0.3">
      <c r="A48" s="13"/>
      <c r="B48" s="14" t="str">
        <f t="shared" si="0"/>
        <v/>
      </c>
      <c r="C48" s="14"/>
      <c r="D48" s="14"/>
      <c r="E48" s="14" t="str">
        <f>IF(D48="","",IFERROR(INDEX(tblProductos[CATEGORIA],MATCH(D48,tblProductos[ITEM],0)),""))</f>
        <v/>
      </c>
      <c r="F48" s="15"/>
      <c r="G48" s="16" t="str">
        <f>IF(D48="","",IFERROR(INDEX(tblProductos[COSTO TOTAL],MATCH(D48,tblProductos[ITEM],0)),""))</f>
        <v/>
      </c>
      <c r="H48" s="16" t="str">
        <f t="shared" si="1"/>
        <v/>
      </c>
      <c r="I48" s="14" t="s">
        <v>42</v>
      </c>
      <c r="J48" s="14" t="s">
        <v>43</v>
      </c>
      <c r="K48" s="14"/>
    </row>
    <row r="49" spans="1:11" x14ac:dyDescent="0.3">
      <c r="A49" s="13"/>
      <c r="B49" s="14" t="str">
        <f t="shared" si="0"/>
        <v/>
      </c>
      <c r="C49" s="14"/>
      <c r="D49" s="14"/>
      <c r="E49" s="14" t="str">
        <f>IF(D49="","",IFERROR(INDEX(tblProductos[CATEGORIA],MATCH(D49,tblProductos[ITEM],0)),""))</f>
        <v/>
      </c>
      <c r="F49" s="15"/>
      <c r="G49" s="16" t="str">
        <f>IF(D49="","",IFERROR(INDEX(tblProductos[COSTO TOTAL],MATCH(D49,tblProductos[ITEM],0)),""))</f>
        <v/>
      </c>
      <c r="H49" s="16" t="str">
        <f t="shared" si="1"/>
        <v/>
      </c>
      <c r="I49" s="14" t="s">
        <v>42</v>
      </c>
      <c r="J49" s="14" t="s">
        <v>43</v>
      </c>
      <c r="K49" s="14"/>
    </row>
    <row r="50" spans="1:11" x14ac:dyDescent="0.3">
      <c r="A50" s="13"/>
      <c r="B50" s="14" t="str">
        <f t="shared" si="0"/>
        <v/>
      </c>
      <c r="C50" s="14"/>
      <c r="D50" s="14"/>
      <c r="E50" s="14" t="str">
        <f>IF(D50="","",IFERROR(INDEX(tblProductos[CATEGORIA],MATCH(D50,tblProductos[ITEM],0)),""))</f>
        <v/>
      </c>
      <c r="F50" s="15"/>
      <c r="G50" s="16" t="str">
        <f>IF(D50="","",IFERROR(INDEX(tblProductos[COSTO TOTAL],MATCH(D50,tblProductos[ITEM],0)),""))</f>
        <v/>
      </c>
      <c r="H50" s="16" t="str">
        <f t="shared" si="1"/>
        <v/>
      </c>
      <c r="I50" s="14" t="s">
        <v>42</v>
      </c>
      <c r="J50" s="14" t="s">
        <v>43</v>
      </c>
      <c r="K50" s="14"/>
    </row>
    <row r="51" spans="1:11" x14ac:dyDescent="0.3">
      <c r="A51" s="13"/>
      <c r="B51" s="14" t="str">
        <f t="shared" si="0"/>
        <v/>
      </c>
      <c r="C51" s="14"/>
      <c r="D51" s="14"/>
      <c r="E51" s="14" t="str">
        <f>IF(D51="","",IFERROR(INDEX(tblProductos[CATEGORIA],MATCH(D51,tblProductos[ITEM],0)),""))</f>
        <v/>
      </c>
      <c r="F51" s="15"/>
      <c r="G51" s="16" t="str">
        <f>IF(D51="","",IFERROR(INDEX(tblProductos[COSTO TOTAL],MATCH(D51,tblProductos[ITEM],0)),""))</f>
        <v/>
      </c>
      <c r="H51" s="16" t="str">
        <f t="shared" si="1"/>
        <v/>
      </c>
      <c r="I51" s="14" t="s">
        <v>42</v>
      </c>
      <c r="J51" s="14" t="s">
        <v>43</v>
      </c>
      <c r="K51" s="14"/>
    </row>
    <row r="52" spans="1:11" x14ac:dyDescent="0.3">
      <c r="A52" s="13"/>
      <c r="B52" s="14" t="str">
        <f t="shared" si="0"/>
        <v/>
      </c>
      <c r="C52" s="14"/>
      <c r="D52" s="14"/>
      <c r="E52" s="14" t="str">
        <f>IF(D52="","",IFERROR(INDEX(tblProductos[CATEGORIA],MATCH(D52,tblProductos[ITEM],0)),""))</f>
        <v/>
      </c>
      <c r="F52" s="15"/>
      <c r="G52" s="16" t="str">
        <f>IF(D52="","",IFERROR(INDEX(tblProductos[COSTO TOTAL],MATCH(D52,tblProductos[ITEM],0)),""))</f>
        <v/>
      </c>
      <c r="H52" s="16" t="str">
        <f t="shared" si="1"/>
        <v/>
      </c>
      <c r="I52" s="14" t="s">
        <v>42</v>
      </c>
      <c r="J52" s="14" t="s">
        <v>43</v>
      </c>
      <c r="K52" s="14"/>
    </row>
    <row r="53" spans="1:11" x14ac:dyDescent="0.3">
      <c r="A53" s="13"/>
      <c r="B53" s="14" t="str">
        <f t="shared" si="0"/>
        <v/>
      </c>
      <c r="C53" s="14"/>
      <c r="D53" s="14"/>
      <c r="E53" s="14" t="str">
        <f>IF(D53="","",IFERROR(INDEX(tblProductos[CATEGORIA],MATCH(D53,tblProductos[ITEM],0)),""))</f>
        <v/>
      </c>
      <c r="F53" s="15"/>
      <c r="G53" s="16" t="str">
        <f>IF(D53="","",IFERROR(INDEX(tblProductos[COSTO TOTAL],MATCH(D53,tblProductos[ITEM],0)),""))</f>
        <v/>
      </c>
      <c r="H53" s="16" t="str">
        <f t="shared" si="1"/>
        <v/>
      </c>
      <c r="I53" s="14" t="s">
        <v>42</v>
      </c>
      <c r="J53" s="14" t="s">
        <v>43</v>
      </c>
      <c r="K53" s="14"/>
    </row>
    <row r="54" spans="1:11" x14ac:dyDescent="0.3">
      <c r="A54" s="13"/>
      <c r="B54" s="14" t="str">
        <f t="shared" si="0"/>
        <v/>
      </c>
      <c r="C54" s="14"/>
      <c r="D54" s="14"/>
      <c r="E54" s="14" t="str">
        <f>IF(D54="","",IFERROR(INDEX(tblProductos[CATEGORIA],MATCH(D54,tblProductos[ITEM],0)),""))</f>
        <v/>
      </c>
      <c r="F54" s="15"/>
      <c r="G54" s="16" t="str">
        <f>IF(D54="","",IFERROR(INDEX(tblProductos[COSTO TOTAL],MATCH(D54,tblProductos[ITEM],0)),""))</f>
        <v/>
      </c>
      <c r="H54" s="16" t="str">
        <f t="shared" si="1"/>
        <v/>
      </c>
      <c r="I54" s="14" t="s">
        <v>42</v>
      </c>
      <c r="J54" s="14" t="s">
        <v>43</v>
      </c>
      <c r="K54" s="14"/>
    </row>
    <row r="55" spans="1:11" x14ac:dyDescent="0.3">
      <c r="A55" s="13"/>
      <c r="B55" s="14" t="str">
        <f t="shared" si="0"/>
        <v/>
      </c>
      <c r="C55" s="14"/>
      <c r="D55" s="14"/>
      <c r="E55" s="14" t="str">
        <f>IF(D55="","",IFERROR(INDEX(tblProductos[CATEGORIA],MATCH(D55,tblProductos[ITEM],0)),""))</f>
        <v/>
      </c>
      <c r="F55" s="15"/>
      <c r="G55" s="16" t="str">
        <f>IF(D55="","",IFERROR(INDEX(tblProductos[COSTO TOTAL],MATCH(D55,tblProductos[ITEM],0)),""))</f>
        <v/>
      </c>
      <c r="H55" s="16" t="str">
        <f t="shared" si="1"/>
        <v/>
      </c>
      <c r="I55" s="14" t="s">
        <v>42</v>
      </c>
      <c r="J55" s="14" t="s">
        <v>43</v>
      </c>
      <c r="K55" s="14"/>
    </row>
    <row r="56" spans="1:11" x14ac:dyDescent="0.3">
      <c r="A56" s="13"/>
      <c r="B56" s="14" t="str">
        <f t="shared" si="0"/>
        <v/>
      </c>
      <c r="C56" s="14"/>
      <c r="D56" s="14"/>
      <c r="E56" s="14" t="str">
        <f>IF(D56="","",IFERROR(INDEX(tblProductos[CATEGORIA],MATCH(D56,tblProductos[ITEM],0)),""))</f>
        <v/>
      </c>
      <c r="F56" s="15"/>
      <c r="G56" s="16" t="str">
        <f>IF(D56="","",IFERROR(INDEX(tblProductos[COSTO TOTAL],MATCH(D56,tblProductos[ITEM],0)),""))</f>
        <v/>
      </c>
      <c r="H56" s="16" t="str">
        <f t="shared" si="1"/>
        <v/>
      </c>
      <c r="I56" s="14" t="s">
        <v>42</v>
      </c>
      <c r="J56" s="14" t="s">
        <v>43</v>
      </c>
      <c r="K56" s="14"/>
    </row>
    <row r="57" spans="1:11" x14ac:dyDescent="0.3">
      <c r="A57" s="13"/>
      <c r="B57" s="14" t="str">
        <f t="shared" si="0"/>
        <v/>
      </c>
      <c r="C57" s="14"/>
      <c r="D57" s="14"/>
      <c r="E57" s="14" t="str">
        <f>IF(D57="","",IFERROR(INDEX(tblProductos[CATEGORIA],MATCH(D57,tblProductos[ITEM],0)),""))</f>
        <v/>
      </c>
      <c r="F57" s="15"/>
      <c r="G57" s="16" t="str">
        <f>IF(D57="","",IFERROR(INDEX(tblProductos[COSTO TOTAL],MATCH(D57,tblProductos[ITEM],0)),""))</f>
        <v/>
      </c>
      <c r="H57" s="16" t="str">
        <f t="shared" si="1"/>
        <v/>
      </c>
      <c r="I57" s="14" t="s">
        <v>42</v>
      </c>
      <c r="J57" s="14" t="s">
        <v>43</v>
      </c>
      <c r="K57" s="14"/>
    </row>
    <row r="58" spans="1:11" x14ac:dyDescent="0.3">
      <c r="A58" s="13"/>
      <c r="B58" s="14" t="str">
        <f t="shared" si="0"/>
        <v/>
      </c>
      <c r="C58" s="14"/>
      <c r="D58" s="14"/>
      <c r="E58" s="14" t="str">
        <f>IF(D58="","",IFERROR(INDEX(tblProductos[CATEGORIA],MATCH(D58,tblProductos[ITEM],0)),""))</f>
        <v/>
      </c>
      <c r="F58" s="15"/>
      <c r="G58" s="16" t="str">
        <f>IF(D58="","",IFERROR(INDEX(tblProductos[COSTO TOTAL],MATCH(D58,tblProductos[ITEM],0)),""))</f>
        <v/>
      </c>
      <c r="H58" s="16" t="str">
        <f t="shared" si="1"/>
        <v/>
      </c>
      <c r="I58" s="14" t="s">
        <v>42</v>
      </c>
      <c r="J58" s="14" t="s">
        <v>43</v>
      </c>
      <c r="K58" s="14"/>
    </row>
    <row r="59" spans="1:11" x14ac:dyDescent="0.3">
      <c r="A59" s="13"/>
      <c r="B59" s="14" t="str">
        <f t="shared" si="0"/>
        <v/>
      </c>
      <c r="C59" s="14"/>
      <c r="D59" s="14"/>
      <c r="E59" s="14" t="str">
        <f>IF(D59="","",IFERROR(INDEX(tblProductos[CATEGORIA],MATCH(D59,tblProductos[ITEM],0)),""))</f>
        <v/>
      </c>
      <c r="F59" s="15"/>
      <c r="G59" s="16" t="str">
        <f>IF(D59="","",IFERROR(INDEX(tblProductos[COSTO TOTAL],MATCH(D59,tblProductos[ITEM],0)),""))</f>
        <v/>
      </c>
      <c r="H59" s="16" t="str">
        <f t="shared" si="1"/>
        <v/>
      </c>
      <c r="I59" s="14" t="s">
        <v>42</v>
      </c>
      <c r="J59" s="14" t="s">
        <v>43</v>
      </c>
      <c r="K59" s="14"/>
    </row>
    <row r="60" spans="1:11" x14ac:dyDescent="0.3">
      <c r="A60" s="13"/>
      <c r="B60" s="14" t="str">
        <f t="shared" si="0"/>
        <v/>
      </c>
      <c r="C60" s="14"/>
      <c r="D60" s="14"/>
      <c r="E60" s="14" t="str">
        <f>IF(D60="","",IFERROR(INDEX(tblProductos[CATEGORIA],MATCH(D60,tblProductos[ITEM],0)),""))</f>
        <v/>
      </c>
      <c r="F60" s="15"/>
      <c r="G60" s="16" t="str">
        <f>IF(D60="","",IFERROR(INDEX(tblProductos[COSTO TOTAL],MATCH(D60,tblProductos[ITEM],0)),""))</f>
        <v/>
      </c>
      <c r="H60" s="16" t="str">
        <f t="shared" si="1"/>
        <v/>
      </c>
      <c r="I60" s="14" t="s">
        <v>42</v>
      </c>
      <c r="J60" s="14" t="s">
        <v>43</v>
      </c>
      <c r="K60" s="14"/>
    </row>
    <row r="61" spans="1:11" x14ac:dyDescent="0.3">
      <c r="A61" s="13"/>
      <c r="B61" s="14" t="str">
        <f t="shared" si="0"/>
        <v/>
      </c>
      <c r="C61" s="14"/>
      <c r="D61" s="14"/>
      <c r="E61" s="14" t="str">
        <f>IF(D61="","",IFERROR(INDEX(tblProductos[CATEGORIA],MATCH(D61,tblProductos[ITEM],0)),""))</f>
        <v/>
      </c>
      <c r="F61" s="15"/>
      <c r="G61" s="16" t="str">
        <f>IF(D61="","",IFERROR(INDEX(tblProductos[COSTO TOTAL],MATCH(D61,tblProductos[ITEM],0)),""))</f>
        <v/>
      </c>
      <c r="H61" s="16" t="str">
        <f t="shared" si="1"/>
        <v/>
      </c>
      <c r="I61" s="14" t="s">
        <v>42</v>
      </c>
      <c r="J61" s="14" t="s">
        <v>43</v>
      </c>
      <c r="K61" s="14"/>
    </row>
    <row r="62" spans="1:11" x14ac:dyDescent="0.3">
      <c r="A62" s="13"/>
      <c r="B62" s="14" t="str">
        <f t="shared" si="0"/>
        <v/>
      </c>
      <c r="C62" s="14"/>
      <c r="D62" s="14"/>
      <c r="E62" s="14" t="str">
        <f>IF(D62="","",IFERROR(INDEX(tblProductos[CATEGORIA],MATCH(D62,tblProductos[ITEM],0)),""))</f>
        <v/>
      </c>
      <c r="F62" s="15"/>
      <c r="G62" s="16" t="str">
        <f>IF(D62="","",IFERROR(INDEX(tblProductos[COSTO TOTAL],MATCH(D62,tblProductos[ITEM],0)),""))</f>
        <v/>
      </c>
      <c r="H62" s="16" t="str">
        <f t="shared" si="1"/>
        <v/>
      </c>
      <c r="I62" s="14" t="s">
        <v>42</v>
      </c>
      <c r="J62" s="14" t="s">
        <v>43</v>
      </c>
      <c r="K62" s="14"/>
    </row>
    <row r="63" spans="1:11" x14ac:dyDescent="0.3">
      <c r="A63" s="13"/>
      <c r="B63" s="14" t="str">
        <f t="shared" si="0"/>
        <v/>
      </c>
      <c r="C63" s="14"/>
      <c r="D63" s="14"/>
      <c r="E63" s="14" t="str">
        <f>IF(D63="","",IFERROR(INDEX(tblProductos[CATEGORIA],MATCH(D63,tblProductos[ITEM],0)),""))</f>
        <v/>
      </c>
      <c r="F63" s="15"/>
      <c r="G63" s="16" t="str">
        <f>IF(D63="","",IFERROR(INDEX(tblProductos[COSTO TOTAL],MATCH(D63,tblProductos[ITEM],0)),""))</f>
        <v/>
      </c>
      <c r="H63" s="16" t="str">
        <f t="shared" si="1"/>
        <v/>
      </c>
      <c r="I63" s="14" t="s">
        <v>42</v>
      </c>
      <c r="J63" s="14" t="s">
        <v>43</v>
      </c>
      <c r="K63" s="14"/>
    </row>
    <row r="64" spans="1:11" x14ac:dyDescent="0.3">
      <c r="A64" s="13"/>
      <c r="B64" s="14" t="str">
        <f t="shared" si="0"/>
        <v/>
      </c>
      <c r="C64" s="14"/>
      <c r="D64" s="14"/>
      <c r="E64" s="14" t="str">
        <f>IF(D64="","",IFERROR(INDEX(tblProductos[CATEGORIA],MATCH(D64,tblProductos[ITEM],0)),""))</f>
        <v/>
      </c>
      <c r="F64" s="15"/>
      <c r="G64" s="16" t="str">
        <f>IF(D64="","",IFERROR(INDEX(tblProductos[COSTO TOTAL],MATCH(D64,tblProductos[ITEM],0)),""))</f>
        <v/>
      </c>
      <c r="H64" s="16" t="str">
        <f t="shared" si="1"/>
        <v/>
      </c>
      <c r="I64" s="14" t="s">
        <v>42</v>
      </c>
      <c r="J64" s="14" t="s">
        <v>43</v>
      </c>
      <c r="K64" s="14"/>
    </row>
    <row r="65" spans="1:11" x14ac:dyDescent="0.3">
      <c r="A65" s="13"/>
      <c r="B65" s="14" t="str">
        <f t="shared" si="0"/>
        <v/>
      </c>
      <c r="C65" s="14"/>
      <c r="D65" s="14"/>
      <c r="E65" s="14" t="str">
        <f>IF(D65="","",IFERROR(INDEX(tblProductos[CATEGORIA],MATCH(D65,tblProductos[ITEM],0)),""))</f>
        <v/>
      </c>
      <c r="F65" s="15"/>
      <c r="G65" s="16" t="str">
        <f>IF(D65="","",IFERROR(INDEX(tblProductos[COSTO TOTAL],MATCH(D65,tblProductos[ITEM],0)),""))</f>
        <v/>
      </c>
      <c r="H65" s="16" t="str">
        <f t="shared" si="1"/>
        <v/>
      </c>
      <c r="I65" s="14" t="s">
        <v>42</v>
      </c>
      <c r="J65" s="14" t="s">
        <v>43</v>
      </c>
      <c r="K65" s="14"/>
    </row>
    <row r="66" spans="1:11" x14ac:dyDescent="0.3">
      <c r="A66" s="13"/>
      <c r="B66" s="14" t="str">
        <f t="shared" ref="B66:B129" si="2">IF(A66="","", "C"&amp;TEXT(A66,"yymmdd")&amp;"-"&amp;TEXT(ROW()-1,"0000"))</f>
        <v/>
      </c>
      <c r="C66" s="14"/>
      <c r="D66" s="14"/>
      <c r="E66" s="14" t="str">
        <f>IF(D66="","",IFERROR(INDEX(tblProductos[CATEGORIA],MATCH(D66,tblProductos[ITEM],0)),""))</f>
        <v/>
      </c>
      <c r="F66" s="15"/>
      <c r="G66" s="16" t="str">
        <f>IF(D66="","",IFERROR(INDEX(tblProductos[COSTO TOTAL],MATCH(D66,tblProductos[ITEM],0)),""))</f>
        <v/>
      </c>
      <c r="H66" s="16" t="str">
        <f t="shared" ref="H66:H129" si="3">IF(F66="","",F66*G66)</f>
        <v/>
      </c>
      <c r="I66" s="14" t="s">
        <v>42</v>
      </c>
      <c r="J66" s="14" t="s">
        <v>43</v>
      </c>
      <c r="K66" s="14"/>
    </row>
    <row r="67" spans="1:11" x14ac:dyDescent="0.3">
      <c r="A67" s="13"/>
      <c r="B67" s="14" t="str">
        <f t="shared" si="2"/>
        <v/>
      </c>
      <c r="C67" s="14"/>
      <c r="D67" s="14"/>
      <c r="E67" s="14" t="str">
        <f>IF(D67="","",IFERROR(INDEX(tblProductos[CATEGORIA],MATCH(D67,tblProductos[ITEM],0)),""))</f>
        <v/>
      </c>
      <c r="F67" s="15"/>
      <c r="G67" s="16" t="str">
        <f>IF(D67="","",IFERROR(INDEX(tblProductos[COSTO TOTAL],MATCH(D67,tblProductos[ITEM],0)),""))</f>
        <v/>
      </c>
      <c r="H67" s="16" t="str">
        <f t="shared" si="3"/>
        <v/>
      </c>
      <c r="I67" s="14" t="s">
        <v>42</v>
      </c>
      <c r="J67" s="14" t="s">
        <v>43</v>
      </c>
      <c r="K67" s="14"/>
    </row>
    <row r="68" spans="1:11" x14ac:dyDescent="0.3">
      <c r="A68" s="13"/>
      <c r="B68" s="14" t="str">
        <f t="shared" si="2"/>
        <v/>
      </c>
      <c r="C68" s="14"/>
      <c r="D68" s="14"/>
      <c r="E68" s="14" t="str">
        <f>IF(D68="","",IFERROR(INDEX(tblProductos[CATEGORIA],MATCH(D68,tblProductos[ITEM],0)),""))</f>
        <v/>
      </c>
      <c r="F68" s="15"/>
      <c r="G68" s="16" t="str">
        <f>IF(D68="","",IFERROR(INDEX(tblProductos[COSTO TOTAL],MATCH(D68,tblProductos[ITEM],0)),""))</f>
        <v/>
      </c>
      <c r="H68" s="16" t="str">
        <f t="shared" si="3"/>
        <v/>
      </c>
      <c r="I68" s="14" t="s">
        <v>42</v>
      </c>
      <c r="J68" s="14" t="s">
        <v>43</v>
      </c>
      <c r="K68" s="14"/>
    </row>
    <row r="69" spans="1:11" x14ac:dyDescent="0.3">
      <c r="A69" s="13"/>
      <c r="B69" s="14" t="str">
        <f t="shared" si="2"/>
        <v/>
      </c>
      <c r="C69" s="14"/>
      <c r="D69" s="14"/>
      <c r="E69" s="14" t="str">
        <f>IF(D69="","",IFERROR(INDEX(tblProductos[CATEGORIA],MATCH(D69,tblProductos[ITEM],0)),""))</f>
        <v/>
      </c>
      <c r="F69" s="15"/>
      <c r="G69" s="16" t="str">
        <f>IF(D69="","",IFERROR(INDEX(tblProductos[COSTO TOTAL],MATCH(D69,tblProductos[ITEM],0)),""))</f>
        <v/>
      </c>
      <c r="H69" s="16" t="str">
        <f t="shared" si="3"/>
        <v/>
      </c>
      <c r="I69" s="14" t="s">
        <v>42</v>
      </c>
      <c r="J69" s="14" t="s">
        <v>43</v>
      </c>
      <c r="K69" s="14"/>
    </row>
    <row r="70" spans="1:11" x14ac:dyDescent="0.3">
      <c r="A70" s="13"/>
      <c r="B70" s="14" t="str">
        <f t="shared" si="2"/>
        <v/>
      </c>
      <c r="C70" s="14"/>
      <c r="D70" s="14"/>
      <c r="E70" s="14" t="str">
        <f>IF(D70="","",IFERROR(INDEX(tblProductos[CATEGORIA],MATCH(D70,tblProductos[ITEM],0)),""))</f>
        <v/>
      </c>
      <c r="F70" s="15"/>
      <c r="G70" s="16" t="str">
        <f>IF(D70="","",IFERROR(INDEX(tblProductos[COSTO TOTAL],MATCH(D70,tblProductos[ITEM],0)),""))</f>
        <v/>
      </c>
      <c r="H70" s="16" t="str">
        <f t="shared" si="3"/>
        <v/>
      </c>
      <c r="I70" s="14" t="s">
        <v>42</v>
      </c>
      <c r="J70" s="14" t="s">
        <v>43</v>
      </c>
      <c r="K70" s="14"/>
    </row>
    <row r="71" spans="1:11" x14ac:dyDescent="0.3">
      <c r="A71" s="13"/>
      <c r="B71" s="14" t="str">
        <f t="shared" si="2"/>
        <v/>
      </c>
      <c r="C71" s="14"/>
      <c r="D71" s="14"/>
      <c r="E71" s="14" t="str">
        <f>IF(D71="","",IFERROR(INDEX(tblProductos[CATEGORIA],MATCH(D71,tblProductos[ITEM],0)),""))</f>
        <v/>
      </c>
      <c r="F71" s="15"/>
      <c r="G71" s="16" t="str">
        <f>IF(D71="","",IFERROR(INDEX(tblProductos[COSTO TOTAL],MATCH(D71,tblProductos[ITEM],0)),""))</f>
        <v/>
      </c>
      <c r="H71" s="16" t="str">
        <f t="shared" si="3"/>
        <v/>
      </c>
      <c r="I71" s="14" t="s">
        <v>42</v>
      </c>
      <c r="J71" s="14" t="s">
        <v>43</v>
      </c>
      <c r="K71" s="14"/>
    </row>
    <row r="72" spans="1:11" x14ac:dyDescent="0.3">
      <c r="A72" s="13"/>
      <c r="B72" s="14" t="str">
        <f t="shared" si="2"/>
        <v/>
      </c>
      <c r="C72" s="14"/>
      <c r="D72" s="14"/>
      <c r="E72" s="14" t="str">
        <f>IF(D72="","",IFERROR(INDEX(tblProductos[CATEGORIA],MATCH(D72,tblProductos[ITEM],0)),""))</f>
        <v/>
      </c>
      <c r="F72" s="15"/>
      <c r="G72" s="16" t="str">
        <f>IF(D72="","",IFERROR(INDEX(tblProductos[COSTO TOTAL],MATCH(D72,tblProductos[ITEM],0)),""))</f>
        <v/>
      </c>
      <c r="H72" s="16" t="str">
        <f t="shared" si="3"/>
        <v/>
      </c>
      <c r="I72" s="14" t="s">
        <v>42</v>
      </c>
      <c r="J72" s="14" t="s">
        <v>43</v>
      </c>
      <c r="K72" s="14"/>
    </row>
    <row r="73" spans="1:11" x14ac:dyDescent="0.3">
      <c r="A73" s="13"/>
      <c r="B73" s="14" t="str">
        <f t="shared" si="2"/>
        <v/>
      </c>
      <c r="C73" s="14"/>
      <c r="D73" s="14"/>
      <c r="E73" s="14" t="str">
        <f>IF(D73="","",IFERROR(INDEX(tblProductos[CATEGORIA],MATCH(D73,tblProductos[ITEM],0)),""))</f>
        <v/>
      </c>
      <c r="F73" s="15"/>
      <c r="G73" s="16" t="str">
        <f>IF(D73="","",IFERROR(INDEX(tblProductos[COSTO TOTAL],MATCH(D73,tblProductos[ITEM],0)),""))</f>
        <v/>
      </c>
      <c r="H73" s="16" t="str">
        <f t="shared" si="3"/>
        <v/>
      </c>
      <c r="I73" s="14" t="s">
        <v>42</v>
      </c>
      <c r="J73" s="14" t="s">
        <v>43</v>
      </c>
      <c r="K73" s="14"/>
    </row>
    <row r="74" spans="1:11" x14ac:dyDescent="0.3">
      <c r="A74" s="13"/>
      <c r="B74" s="14" t="str">
        <f t="shared" si="2"/>
        <v/>
      </c>
      <c r="C74" s="14"/>
      <c r="D74" s="14"/>
      <c r="E74" s="14" t="str">
        <f>IF(D74="","",IFERROR(INDEX(tblProductos[CATEGORIA],MATCH(D74,tblProductos[ITEM],0)),""))</f>
        <v/>
      </c>
      <c r="F74" s="15"/>
      <c r="G74" s="16" t="str">
        <f>IF(D74="","",IFERROR(INDEX(tblProductos[COSTO TOTAL],MATCH(D74,tblProductos[ITEM],0)),""))</f>
        <v/>
      </c>
      <c r="H74" s="16" t="str">
        <f t="shared" si="3"/>
        <v/>
      </c>
      <c r="I74" s="14" t="s">
        <v>42</v>
      </c>
      <c r="J74" s="14" t="s">
        <v>43</v>
      </c>
      <c r="K74" s="14"/>
    </row>
    <row r="75" spans="1:11" x14ac:dyDescent="0.3">
      <c r="A75" s="13"/>
      <c r="B75" s="14" t="str">
        <f t="shared" si="2"/>
        <v/>
      </c>
      <c r="C75" s="14"/>
      <c r="D75" s="14"/>
      <c r="E75" s="14" t="str">
        <f>IF(D75="","",IFERROR(INDEX(tblProductos[CATEGORIA],MATCH(D75,tblProductos[ITEM],0)),""))</f>
        <v/>
      </c>
      <c r="F75" s="15"/>
      <c r="G75" s="16" t="str">
        <f>IF(D75="","",IFERROR(INDEX(tblProductos[COSTO TOTAL],MATCH(D75,tblProductos[ITEM],0)),""))</f>
        <v/>
      </c>
      <c r="H75" s="16" t="str">
        <f t="shared" si="3"/>
        <v/>
      </c>
      <c r="I75" s="14" t="s">
        <v>42</v>
      </c>
      <c r="J75" s="14" t="s">
        <v>43</v>
      </c>
      <c r="K75" s="14"/>
    </row>
    <row r="76" spans="1:11" x14ac:dyDescent="0.3">
      <c r="A76" s="13"/>
      <c r="B76" s="14" t="str">
        <f t="shared" si="2"/>
        <v/>
      </c>
      <c r="C76" s="14"/>
      <c r="D76" s="14"/>
      <c r="E76" s="14" t="str">
        <f>IF(D76="","",IFERROR(INDEX(tblProductos[CATEGORIA],MATCH(D76,tblProductos[ITEM],0)),""))</f>
        <v/>
      </c>
      <c r="F76" s="15"/>
      <c r="G76" s="16" t="str">
        <f>IF(D76="","",IFERROR(INDEX(tblProductos[COSTO TOTAL],MATCH(D76,tblProductos[ITEM],0)),""))</f>
        <v/>
      </c>
      <c r="H76" s="16" t="str">
        <f t="shared" si="3"/>
        <v/>
      </c>
      <c r="I76" s="14" t="s">
        <v>42</v>
      </c>
      <c r="J76" s="14" t="s">
        <v>43</v>
      </c>
      <c r="K76" s="14"/>
    </row>
    <row r="77" spans="1:11" x14ac:dyDescent="0.3">
      <c r="A77" s="13"/>
      <c r="B77" s="14" t="str">
        <f t="shared" si="2"/>
        <v/>
      </c>
      <c r="C77" s="14"/>
      <c r="D77" s="14"/>
      <c r="E77" s="14" t="str">
        <f>IF(D77="","",IFERROR(INDEX(tblProductos[CATEGORIA],MATCH(D77,tblProductos[ITEM],0)),""))</f>
        <v/>
      </c>
      <c r="F77" s="15"/>
      <c r="G77" s="16" t="str">
        <f>IF(D77="","",IFERROR(INDEX(tblProductos[COSTO TOTAL],MATCH(D77,tblProductos[ITEM],0)),""))</f>
        <v/>
      </c>
      <c r="H77" s="16" t="str">
        <f t="shared" si="3"/>
        <v/>
      </c>
      <c r="I77" s="14" t="s">
        <v>42</v>
      </c>
      <c r="J77" s="14" t="s">
        <v>43</v>
      </c>
      <c r="K77" s="14"/>
    </row>
    <row r="78" spans="1:11" x14ac:dyDescent="0.3">
      <c r="A78" s="13"/>
      <c r="B78" s="14" t="str">
        <f t="shared" si="2"/>
        <v/>
      </c>
      <c r="C78" s="14"/>
      <c r="D78" s="14"/>
      <c r="E78" s="14" t="str">
        <f>IF(D78="","",IFERROR(INDEX(tblProductos[CATEGORIA],MATCH(D78,tblProductos[ITEM],0)),""))</f>
        <v/>
      </c>
      <c r="F78" s="15"/>
      <c r="G78" s="16" t="str">
        <f>IF(D78="","",IFERROR(INDEX(tblProductos[COSTO TOTAL],MATCH(D78,tblProductos[ITEM],0)),""))</f>
        <v/>
      </c>
      <c r="H78" s="16" t="str">
        <f t="shared" si="3"/>
        <v/>
      </c>
      <c r="I78" s="14" t="s">
        <v>42</v>
      </c>
      <c r="J78" s="14" t="s">
        <v>43</v>
      </c>
      <c r="K78" s="14"/>
    </row>
    <row r="79" spans="1:11" x14ac:dyDescent="0.3">
      <c r="A79" s="13"/>
      <c r="B79" s="14" t="str">
        <f t="shared" si="2"/>
        <v/>
      </c>
      <c r="C79" s="14"/>
      <c r="D79" s="14"/>
      <c r="E79" s="14" t="str">
        <f>IF(D79="","",IFERROR(INDEX(tblProductos[CATEGORIA],MATCH(D79,tblProductos[ITEM],0)),""))</f>
        <v/>
      </c>
      <c r="F79" s="15"/>
      <c r="G79" s="16" t="str">
        <f>IF(D79="","",IFERROR(INDEX(tblProductos[COSTO TOTAL],MATCH(D79,tblProductos[ITEM],0)),""))</f>
        <v/>
      </c>
      <c r="H79" s="16" t="str">
        <f t="shared" si="3"/>
        <v/>
      </c>
      <c r="I79" s="14" t="s">
        <v>42</v>
      </c>
      <c r="J79" s="14" t="s">
        <v>43</v>
      </c>
      <c r="K79" s="14"/>
    </row>
    <row r="80" spans="1:11" x14ac:dyDescent="0.3">
      <c r="A80" s="13"/>
      <c r="B80" s="14" t="str">
        <f t="shared" si="2"/>
        <v/>
      </c>
      <c r="C80" s="14"/>
      <c r="D80" s="14"/>
      <c r="E80" s="14" t="str">
        <f>IF(D80="","",IFERROR(INDEX(tblProductos[CATEGORIA],MATCH(D80,tblProductos[ITEM],0)),""))</f>
        <v/>
      </c>
      <c r="F80" s="15"/>
      <c r="G80" s="16" t="str">
        <f>IF(D80="","",IFERROR(INDEX(tblProductos[COSTO TOTAL],MATCH(D80,tblProductos[ITEM],0)),""))</f>
        <v/>
      </c>
      <c r="H80" s="16" t="str">
        <f t="shared" si="3"/>
        <v/>
      </c>
      <c r="I80" s="14" t="s">
        <v>42</v>
      </c>
      <c r="J80" s="14" t="s">
        <v>43</v>
      </c>
      <c r="K80" s="14"/>
    </row>
    <row r="81" spans="1:11" x14ac:dyDescent="0.3">
      <c r="A81" s="13"/>
      <c r="B81" s="14" t="str">
        <f t="shared" si="2"/>
        <v/>
      </c>
      <c r="C81" s="14"/>
      <c r="D81" s="14"/>
      <c r="E81" s="14" t="str">
        <f>IF(D81="","",IFERROR(INDEX(tblProductos[CATEGORIA],MATCH(D81,tblProductos[ITEM],0)),""))</f>
        <v/>
      </c>
      <c r="F81" s="15"/>
      <c r="G81" s="16" t="str">
        <f>IF(D81="","",IFERROR(INDEX(tblProductos[COSTO TOTAL],MATCH(D81,tblProductos[ITEM],0)),""))</f>
        <v/>
      </c>
      <c r="H81" s="16" t="str">
        <f t="shared" si="3"/>
        <v/>
      </c>
      <c r="I81" s="14" t="s">
        <v>42</v>
      </c>
      <c r="J81" s="14" t="s">
        <v>43</v>
      </c>
      <c r="K81" s="14"/>
    </row>
    <row r="82" spans="1:11" x14ac:dyDescent="0.3">
      <c r="A82" s="13"/>
      <c r="B82" s="14" t="str">
        <f t="shared" si="2"/>
        <v/>
      </c>
      <c r="C82" s="14"/>
      <c r="D82" s="14"/>
      <c r="E82" s="14" t="str">
        <f>IF(D82="","",IFERROR(INDEX(tblProductos[CATEGORIA],MATCH(D82,tblProductos[ITEM],0)),""))</f>
        <v/>
      </c>
      <c r="F82" s="15"/>
      <c r="G82" s="16" t="str">
        <f>IF(D82="","",IFERROR(INDEX(tblProductos[COSTO TOTAL],MATCH(D82,tblProductos[ITEM],0)),""))</f>
        <v/>
      </c>
      <c r="H82" s="16" t="str">
        <f t="shared" si="3"/>
        <v/>
      </c>
      <c r="I82" s="14" t="s">
        <v>42</v>
      </c>
      <c r="J82" s="14" t="s">
        <v>43</v>
      </c>
      <c r="K82" s="14"/>
    </row>
    <row r="83" spans="1:11" x14ac:dyDescent="0.3">
      <c r="A83" s="13"/>
      <c r="B83" s="14" t="str">
        <f t="shared" si="2"/>
        <v/>
      </c>
      <c r="C83" s="14"/>
      <c r="D83" s="14"/>
      <c r="E83" s="14" t="str">
        <f>IF(D83="","",IFERROR(INDEX(tblProductos[CATEGORIA],MATCH(D83,tblProductos[ITEM],0)),""))</f>
        <v/>
      </c>
      <c r="F83" s="15"/>
      <c r="G83" s="16" t="str">
        <f>IF(D83="","",IFERROR(INDEX(tblProductos[COSTO TOTAL],MATCH(D83,tblProductos[ITEM],0)),""))</f>
        <v/>
      </c>
      <c r="H83" s="16" t="str">
        <f t="shared" si="3"/>
        <v/>
      </c>
      <c r="I83" s="14" t="s">
        <v>42</v>
      </c>
      <c r="J83" s="14" t="s">
        <v>43</v>
      </c>
      <c r="K83" s="14"/>
    </row>
    <row r="84" spans="1:11" x14ac:dyDescent="0.3">
      <c r="A84" s="13"/>
      <c r="B84" s="14" t="str">
        <f t="shared" si="2"/>
        <v/>
      </c>
      <c r="C84" s="14"/>
      <c r="D84" s="14"/>
      <c r="E84" s="14" t="str">
        <f>IF(D84="","",IFERROR(INDEX(tblProductos[CATEGORIA],MATCH(D84,tblProductos[ITEM],0)),""))</f>
        <v/>
      </c>
      <c r="F84" s="15"/>
      <c r="G84" s="16" t="str">
        <f>IF(D84="","",IFERROR(INDEX(tblProductos[COSTO TOTAL],MATCH(D84,tblProductos[ITEM],0)),""))</f>
        <v/>
      </c>
      <c r="H84" s="16" t="str">
        <f t="shared" si="3"/>
        <v/>
      </c>
      <c r="I84" s="14" t="s">
        <v>42</v>
      </c>
      <c r="J84" s="14" t="s">
        <v>43</v>
      </c>
      <c r="K84" s="14"/>
    </row>
    <row r="85" spans="1:11" x14ac:dyDescent="0.3">
      <c r="A85" s="13"/>
      <c r="B85" s="14" t="str">
        <f t="shared" si="2"/>
        <v/>
      </c>
      <c r="C85" s="14"/>
      <c r="D85" s="14"/>
      <c r="E85" s="14" t="str">
        <f>IF(D85="","",IFERROR(INDEX(tblProductos[CATEGORIA],MATCH(D85,tblProductos[ITEM],0)),""))</f>
        <v/>
      </c>
      <c r="F85" s="15"/>
      <c r="G85" s="16" t="str">
        <f>IF(D85="","",IFERROR(INDEX(tblProductos[COSTO TOTAL],MATCH(D85,tblProductos[ITEM],0)),""))</f>
        <v/>
      </c>
      <c r="H85" s="16" t="str">
        <f t="shared" si="3"/>
        <v/>
      </c>
      <c r="I85" s="14" t="s">
        <v>42</v>
      </c>
      <c r="J85" s="14" t="s">
        <v>43</v>
      </c>
      <c r="K85" s="14"/>
    </row>
    <row r="86" spans="1:11" x14ac:dyDescent="0.3">
      <c r="A86" s="13"/>
      <c r="B86" s="14" t="str">
        <f t="shared" si="2"/>
        <v/>
      </c>
      <c r="C86" s="14"/>
      <c r="D86" s="14"/>
      <c r="E86" s="14" t="str">
        <f>IF(D86="","",IFERROR(INDEX(tblProductos[CATEGORIA],MATCH(D86,tblProductos[ITEM],0)),""))</f>
        <v/>
      </c>
      <c r="F86" s="15"/>
      <c r="G86" s="16" t="str">
        <f>IF(D86="","",IFERROR(INDEX(tblProductos[COSTO TOTAL],MATCH(D86,tblProductos[ITEM],0)),""))</f>
        <v/>
      </c>
      <c r="H86" s="16" t="str">
        <f t="shared" si="3"/>
        <v/>
      </c>
      <c r="I86" s="14" t="s">
        <v>42</v>
      </c>
      <c r="J86" s="14" t="s">
        <v>43</v>
      </c>
      <c r="K86" s="14"/>
    </row>
    <row r="87" spans="1:11" x14ac:dyDescent="0.3">
      <c r="A87" s="13"/>
      <c r="B87" s="14" t="str">
        <f t="shared" si="2"/>
        <v/>
      </c>
      <c r="C87" s="14"/>
      <c r="D87" s="14"/>
      <c r="E87" s="14" t="str">
        <f>IF(D87="","",IFERROR(INDEX(tblProductos[CATEGORIA],MATCH(D87,tblProductos[ITEM],0)),""))</f>
        <v/>
      </c>
      <c r="F87" s="15"/>
      <c r="G87" s="16" t="str">
        <f>IF(D87="","",IFERROR(INDEX(tblProductos[COSTO TOTAL],MATCH(D87,tblProductos[ITEM],0)),""))</f>
        <v/>
      </c>
      <c r="H87" s="16" t="str">
        <f t="shared" si="3"/>
        <v/>
      </c>
      <c r="I87" s="14" t="s">
        <v>42</v>
      </c>
      <c r="J87" s="14" t="s">
        <v>43</v>
      </c>
      <c r="K87" s="14"/>
    </row>
    <row r="88" spans="1:11" x14ac:dyDescent="0.3">
      <c r="A88" s="13"/>
      <c r="B88" s="14" t="str">
        <f t="shared" si="2"/>
        <v/>
      </c>
      <c r="C88" s="14"/>
      <c r="D88" s="14"/>
      <c r="E88" s="14" t="str">
        <f>IF(D88="","",IFERROR(INDEX(tblProductos[CATEGORIA],MATCH(D88,tblProductos[ITEM],0)),""))</f>
        <v/>
      </c>
      <c r="F88" s="15"/>
      <c r="G88" s="16" t="str">
        <f>IF(D88="","",IFERROR(INDEX(tblProductos[COSTO TOTAL],MATCH(D88,tblProductos[ITEM],0)),""))</f>
        <v/>
      </c>
      <c r="H88" s="16" t="str">
        <f t="shared" si="3"/>
        <v/>
      </c>
      <c r="I88" s="14" t="s">
        <v>42</v>
      </c>
      <c r="J88" s="14" t="s">
        <v>43</v>
      </c>
      <c r="K88" s="14"/>
    </row>
    <row r="89" spans="1:11" x14ac:dyDescent="0.3">
      <c r="A89" s="13"/>
      <c r="B89" s="14" t="str">
        <f t="shared" si="2"/>
        <v/>
      </c>
      <c r="C89" s="14"/>
      <c r="D89" s="14"/>
      <c r="E89" s="14" t="str">
        <f>IF(D89="","",IFERROR(INDEX(tblProductos[CATEGORIA],MATCH(D89,tblProductos[ITEM],0)),""))</f>
        <v/>
      </c>
      <c r="F89" s="15"/>
      <c r="G89" s="16" t="str">
        <f>IF(D89="","",IFERROR(INDEX(tblProductos[COSTO TOTAL],MATCH(D89,tblProductos[ITEM],0)),""))</f>
        <v/>
      </c>
      <c r="H89" s="16" t="str">
        <f t="shared" si="3"/>
        <v/>
      </c>
      <c r="I89" s="14" t="s">
        <v>42</v>
      </c>
      <c r="J89" s="14" t="s">
        <v>43</v>
      </c>
      <c r="K89" s="14"/>
    </row>
    <row r="90" spans="1:11" x14ac:dyDescent="0.3">
      <c r="A90" s="13"/>
      <c r="B90" s="14" t="str">
        <f t="shared" si="2"/>
        <v/>
      </c>
      <c r="C90" s="14"/>
      <c r="D90" s="14"/>
      <c r="E90" s="14" t="str">
        <f>IF(D90="","",IFERROR(INDEX(tblProductos[CATEGORIA],MATCH(D90,tblProductos[ITEM],0)),""))</f>
        <v/>
      </c>
      <c r="F90" s="15"/>
      <c r="G90" s="16" t="str">
        <f>IF(D90="","",IFERROR(INDEX(tblProductos[COSTO TOTAL],MATCH(D90,tblProductos[ITEM],0)),""))</f>
        <v/>
      </c>
      <c r="H90" s="16" t="str">
        <f t="shared" si="3"/>
        <v/>
      </c>
      <c r="I90" s="14" t="s">
        <v>42</v>
      </c>
      <c r="J90" s="14" t="s">
        <v>43</v>
      </c>
      <c r="K90" s="14"/>
    </row>
    <row r="91" spans="1:11" x14ac:dyDescent="0.3">
      <c r="A91" s="13"/>
      <c r="B91" s="14" t="str">
        <f t="shared" si="2"/>
        <v/>
      </c>
      <c r="C91" s="14"/>
      <c r="D91" s="14"/>
      <c r="E91" s="14" t="str">
        <f>IF(D91="","",IFERROR(INDEX(tblProductos[CATEGORIA],MATCH(D91,tblProductos[ITEM],0)),""))</f>
        <v/>
      </c>
      <c r="F91" s="15"/>
      <c r="G91" s="16" t="str">
        <f>IF(D91="","",IFERROR(INDEX(tblProductos[COSTO TOTAL],MATCH(D91,tblProductos[ITEM],0)),""))</f>
        <v/>
      </c>
      <c r="H91" s="16" t="str">
        <f t="shared" si="3"/>
        <v/>
      </c>
      <c r="I91" s="14" t="s">
        <v>42</v>
      </c>
      <c r="J91" s="14" t="s">
        <v>43</v>
      </c>
      <c r="K91" s="14"/>
    </row>
    <row r="92" spans="1:11" x14ac:dyDescent="0.3">
      <c r="A92" s="13"/>
      <c r="B92" s="14" t="str">
        <f t="shared" si="2"/>
        <v/>
      </c>
      <c r="C92" s="14"/>
      <c r="D92" s="14"/>
      <c r="E92" s="14" t="str">
        <f>IF(D92="","",IFERROR(INDEX(tblProductos[CATEGORIA],MATCH(D92,tblProductos[ITEM],0)),""))</f>
        <v/>
      </c>
      <c r="F92" s="15"/>
      <c r="G92" s="16" t="str">
        <f>IF(D92="","",IFERROR(INDEX(tblProductos[COSTO TOTAL],MATCH(D92,tblProductos[ITEM],0)),""))</f>
        <v/>
      </c>
      <c r="H92" s="16" t="str">
        <f t="shared" si="3"/>
        <v/>
      </c>
      <c r="I92" s="14" t="s">
        <v>42</v>
      </c>
      <c r="J92" s="14" t="s">
        <v>43</v>
      </c>
      <c r="K92" s="14"/>
    </row>
    <row r="93" spans="1:11" x14ac:dyDescent="0.3">
      <c r="A93" s="13"/>
      <c r="B93" s="14" t="str">
        <f t="shared" si="2"/>
        <v/>
      </c>
      <c r="C93" s="14"/>
      <c r="D93" s="14"/>
      <c r="E93" s="14" t="str">
        <f>IF(D93="","",IFERROR(INDEX(tblProductos[CATEGORIA],MATCH(D93,tblProductos[ITEM],0)),""))</f>
        <v/>
      </c>
      <c r="F93" s="15"/>
      <c r="G93" s="16" t="str">
        <f>IF(D93="","",IFERROR(INDEX(tblProductos[COSTO TOTAL],MATCH(D93,tblProductos[ITEM],0)),""))</f>
        <v/>
      </c>
      <c r="H93" s="16" t="str">
        <f t="shared" si="3"/>
        <v/>
      </c>
      <c r="I93" s="14" t="s">
        <v>42</v>
      </c>
      <c r="J93" s="14" t="s">
        <v>43</v>
      </c>
      <c r="K93" s="14"/>
    </row>
    <row r="94" spans="1:11" x14ac:dyDescent="0.3">
      <c r="A94" s="13"/>
      <c r="B94" s="14" t="str">
        <f t="shared" si="2"/>
        <v/>
      </c>
      <c r="C94" s="14"/>
      <c r="D94" s="14"/>
      <c r="E94" s="14" t="str">
        <f>IF(D94="","",IFERROR(INDEX(tblProductos[CATEGORIA],MATCH(D94,tblProductos[ITEM],0)),""))</f>
        <v/>
      </c>
      <c r="F94" s="15"/>
      <c r="G94" s="16" t="str">
        <f>IF(D94="","",IFERROR(INDEX(tblProductos[COSTO TOTAL],MATCH(D94,tblProductos[ITEM],0)),""))</f>
        <v/>
      </c>
      <c r="H94" s="16" t="str">
        <f t="shared" si="3"/>
        <v/>
      </c>
      <c r="I94" s="14" t="s">
        <v>42</v>
      </c>
      <c r="J94" s="14" t="s">
        <v>43</v>
      </c>
      <c r="K94" s="14"/>
    </row>
    <row r="95" spans="1:11" x14ac:dyDescent="0.3">
      <c r="A95" s="13"/>
      <c r="B95" s="14" t="str">
        <f t="shared" si="2"/>
        <v/>
      </c>
      <c r="C95" s="14"/>
      <c r="D95" s="14"/>
      <c r="E95" s="14" t="str">
        <f>IF(D95="","",IFERROR(INDEX(tblProductos[CATEGORIA],MATCH(D95,tblProductos[ITEM],0)),""))</f>
        <v/>
      </c>
      <c r="F95" s="15"/>
      <c r="G95" s="16" t="str">
        <f>IF(D95="","",IFERROR(INDEX(tblProductos[COSTO TOTAL],MATCH(D95,tblProductos[ITEM],0)),""))</f>
        <v/>
      </c>
      <c r="H95" s="16" t="str">
        <f t="shared" si="3"/>
        <v/>
      </c>
      <c r="I95" s="14" t="s">
        <v>42</v>
      </c>
      <c r="J95" s="14" t="s">
        <v>43</v>
      </c>
      <c r="K95" s="14"/>
    </row>
    <row r="96" spans="1:11" x14ac:dyDescent="0.3">
      <c r="A96" s="13"/>
      <c r="B96" s="14" t="str">
        <f t="shared" si="2"/>
        <v/>
      </c>
      <c r="C96" s="14"/>
      <c r="D96" s="14"/>
      <c r="E96" s="14" t="str">
        <f>IF(D96="","",IFERROR(INDEX(tblProductos[CATEGORIA],MATCH(D96,tblProductos[ITEM],0)),""))</f>
        <v/>
      </c>
      <c r="F96" s="15"/>
      <c r="G96" s="16" t="str">
        <f>IF(D96="","",IFERROR(INDEX(tblProductos[COSTO TOTAL],MATCH(D96,tblProductos[ITEM],0)),""))</f>
        <v/>
      </c>
      <c r="H96" s="16" t="str">
        <f t="shared" si="3"/>
        <v/>
      </c>
      <c r="I96" s="14" t="s">
        <v>42</v>
      </c>
      <c r="J96" s="14" t="s">
        <v>43</v>
      </c>
      <c r="K96" s="14"/>
    </row>
    <row r="97" spans="1:11" x14ac:dyDescent="0.3">
      <c r="A97" s="13"/>
      <c r="B97" s="14" t="str">
        <f t="shared" si="2"/>
        <v/>
      </c>
      <c r="C97" s="14"/>
      <c r="D97" s="14"/>
      <c r="E97" s="14" t="str">
        <f>IF(D97="","",IFERROR(INDEX(tblProductos[CATEGORIA],MATCH(D97,tblProductos[ITEM],0)),""))</f>
        <v/>
      </c>
      <c r="F97" s="15"/>
      <c r="G97" s="16" t="str">
        <f>IF(D97="","",IFERROR(INDEX(tblProductos[COSTO TOTAL],MATCH(D97,tblProductos[ITEM],0)),""))</f>
        <v/>
      </c>
      <c r="H97" s="16" t="str">
        <f t="shared" si="3"/>
        <v/>
      </c>
      <c r="I97" s="14" t="s">
        <v>42</v>
      </c>
      <c r="J97" s="14" t="s">
        <v>43</v>
      </c>
      <c r="K97" s="14"/>
    </row>
    <row r="98" spans="1:11" x14ac:dyDescent="0.3">
      <c r="A98" s="13"/>
      <c r="B98" s="14" t="str">
        <f t="shared" si="2"/>
        <v/>
      </c>
      <c r="C98" s="14"/>
      <c r="D98" s="14"/>
      <c r="E98" s="14" t="str">
        <f>IF(D98="","",IFERROR(INDEX(tblProductos[CATEGORIA],MATCH(D98,tblProductos[ITEM],0)),""))</f>
        <v/>
      </c>
      <c r="F98" s="15"/>
      <c r="G98" s="16" t="str">
        <f>IF(D98="","",IFERROR(INDEX(tblProductos[COSTO TOTAL],MATCH(D98,tblProductos[ITEM],0)),""))</f>
        <v/>
      </c>
      <c r="H98" s="16" t="str">
        <f t="shared" si="3"/>
        <v/>
      </c>
      <c r="I98" s="14" t="s">
        <v>42</v>
      </c>
      <c r="J98" s="14" t="s">
        <v>43</v>
      </c>
      <c r="K98" s="14"/>
    </row>
    <row r="99" spans="1:11" x14ac:dyDescent="0.3">
      <c r="A99" s="13"/>
      <c r="B99" s="14" t="str">
        <f t="shared" si="2"/>
        <v/>
      </c>
      <c r="C99" s="14"/>
      <c r="D99" s="14"/>
      <c r="E99" s="14" t="str">
        <f>IF(D99="","",IFERROR(INDEX(tblProductos[CATEGORIA],MATCH(D99,tblProductos[ITEM],0)),""))</f>
        <v/>
      </c>
      <c r="F99" s="15"/>
      <c r="G99" s="16" t="str">
        <f>IF(D99="","",IFERROR(INDEX(tblProductos[COSTO TOTAL],MATCH(D99,tblProductos[ITEM],0)),""))</f>
        <v/>
      </c>
      <c r="H99" s="16" t="str">
        <f t="shared" si="3"/>
        <v/>
      </c>
      <c r="I99" s="14" t="s">
        <v>42</v>
      </c>
      <c r="J99" s="14" t="s">
        <v>43</v>
      </c>
      <c r="K99" s="14"/>
    </row>
    <row r="100" spans="1:11" x14ac:dyDescent="0.3">
      <c r="A100" s="13"/>
      <c r="B100" s="14" t="str">
        <f t="shared" si="2"/>
        <v/>
      </c>
      <c r="C100" s="14"/>
      <c r="D100" s="14"/>
      <c r="E100" s="14" t="str">
        <f>IF(D100="","",IFERROR(INDEX(tblProductos[CATEGORIA],MATCH(D100,tblProductos[ITEM],0)),""))</f>
        <v/>
      </c>
      <c r="F100" s="15"/>
      <c r="G100" s="16" t="str">
        <f>IF(D100="","",IFERROR(INDEX(tblProductos[COSTO TOTAL],MATCH(D100,tblProductos[ITEM],0)),""))</f>
        <v/>
      </c>
      <c r="H100" s="16" t="str">
        <f t="shared" si="3"/>
        <v/>
      </c>
      <c r="I100" s="14" t="s">
        <v>42</v>
      </c>
      <c r="J100" s="14" t="s">
        <v>43</v>
      </c>
      <c r="K100" s="14"/>
    </row>
    <row r="101" spans="1:11" x14ac:dyDescent="0.3">
      <c r="A101" s="13"/>
      <c r="B101" s="14" t="str">
        <f t="shared" si="2"/>
        <v/>
      </c>
      <c r="C101" s="14"/>
      <c r="D101" s="14"/>
      <c r="E101" s="14" t="str">
        <f>IF(D101="","",IFERROR(INDEX(tblProductos[CATEGORIA],MATCH(D101,tblProductos[ITEM],0)),""))</f>
        <v/>
      </c>
      <c r="F101" s="15"/>
      <c r="G101" s="16" t="str">
        <f>IF(D101="","",IFERROR(INDEX(tblProductos[COSTO TOTAL],MATCH(D101,tblProductos[ITEM],0)),""))</f>
        <v/>
      </c>
      <c r="H101" s="16" t="str">
        <f t="shared" si="3"/>
        <v/>
      </c>
      <c r="I101" s="14" t="s">
        <v>42</v>
      </c>
      <c r="J101" s="14" t="s">
        <v>43</v>
      </c>
      <c r="K101" s="14"/>
    </row>
    <row r="102" spans="1:11" x14ac:dyDescent="0.3">
      <c r="A102" s="13"/>
      <c r="B102" s="14" t="str">
        <f t="shared" si="2"/>
        <v/>
      </c>
      <c r="C102" s="14"/>
      <c r="D102" s="14"/>
      <c r="E102" s="14" t="str">
        <f>IF(D102="","",IFERROR(INDEX(tblProductos[CATEGORIA],MATCH(D102,tblProductos[ITEM],0)),""))</f>
        <v/>
      </c>
      <c r="F102" s="15"/>
      <c r="G102" s="16" t="str">
        <f>IF(D102="","",IFERROR(INDEX(tblProductos[COSTO TOTAL],MATCH(D102,tblProductos[ITEM],0)),""))</f>
        <v/>
      </c>
      <c r="H102" s="16" t="str">
        <f t="shared" si="3"/>
        <v/>
      </c>
      <c r="I102" s="14" t="s">
        <v>42</v>
      </c>
      <c r="J102" s="14" t="s">
        <v>43</v>
      </c>
      <c r="K102" s="14"/>
    </row>
    <row r="103" spans="1:11" x14ac:dyDescent="0.3">
      <c r="A103" s="13"/>
      <c r="B103" s="14" t="str">
        <f t="shared" si="2"/>
        <v/>
      </c>
      <c r="C103" s="14"/>
      <c r="D103" s="14"/>
      <c r="E103" s="14" t="str">
        <f>IF(D103="","",IFERROR(INDEX(tblProductos[CATEGORIA],MATCH(D103,tblProductos[ITEM],0)),""))</f>
        <v/>
      </c>
      <c r="F103" s="15"/>
      <c r="G103" s="16" t="str">
        <f>IF(D103="","",IFERROR(INDEX(tblProductos[COSTO TOTAL],MATCH(D103,tblProductos[ITEM],0)),""))</f>
        <v/>
      </c>
      <c r="H103" s="16" t="str">
        <f t="shared" si="3"/>
        <v/>
      </c>
      <c r="I103" s="14" t="s">
        <v>42</v>
      </c>
      <c r="J103" s="14" t="s">
        <v>43</v>
      </c>
      <c r="K103" s="14"/>
    </row>
    <row r="104" spans="1:11" x14ac:dyDescent="0.3">
      <c r="A104" s="13"/>
      <c r="B104" s="14" t="str">
        <f t="shared" si="2"/>
        <v/>
      </c>
      <c r="C104" s="14"/>
      <c r="D104" s="14"/>
      <c r="E104" s="14" t="str">
        <f>IF(D104="","",IFERROR(INDEX(tblProductos[CATEGORIA],MATCH(D104,tblProductos[ITEM],0)),""))</f>
        <v/>
      </c>
      <c r="F104" s="15"/>
      <c r="G104" s="16" t="str">
        <f>IF(D104="","",IFERROR(INDEX(tblProductos[COSTO TOTAL],MATCH(D104,tblProductos[ITEM],0)),""))</f>
        <v/>
      </c>
      <c r="H104" s="16" t="str">
        <f t="shared" si="3"/>
        <v/>
      </c>
      <c r="I104" s="14" t="s">
        <v>42</v>
      </c>
      <c r="J104" s="14" t="s">
        <v>43</v>
      </c>
      <c r="K104" s="14"/>
    </row>
    <row r="105" spans="1:11" x14ac:dyDescent="0.3">
      <c r="A105" s="13"/>
      <c r="B105" s="14" t="str">
        <f t="shared" si="2"/>
        <v/>
      </c>
      <c r="C105" s="14"/>
      <c r="D105" s="14"/>
      <c r="E105" s="14" t="str">
        <f>IF(D105="","",IFERROR(INDEX(tblProductos[CATEGORIA],MATCH(D105,tblProductos[ITEM],0)),""))</f>
        <v/>
      </c>
      <c r="F105" s="15"/>
      <c r="G105" s="16" t="str">
        <f>IF(D105="","",IFERROR(INDEX(tblProductos[COSTO TOTAL],MATCH(D105,tblProductos[ITEM],0)),""))</f>
        <v/>
      </c>
      <c r="H105" s="16" t="str">
        <f t="shared" si="3"/>
        <v/>
      </c>
      <c r="I105" s="14" t="s">
        <v>42</v>
      </c>
      <c r="J105" s="14" t="s">
        <v>43</v>
      </c>
      <c r="K105" s="14"/>
    </row>
    <row r="106" spans="1:11" x14ac:dyDescent="0.3">
      <c r="A106" s="13"/>
      <c r="B106" s="14" t="str">
        <f t="shared" si="2"/>
        <v/>
      </c>
      <c r="C106" s="14"/>
      <c r="D106" s="14"/>
      <c r="E106" s="14" t="str">
        <f>IF(D106="","",IFERROR(INDEX(tblProductos[CATEGORIA],MATCH(D106,tblProductos[ITEM],0)),""))</f>
        <v/>
      </c>
      <c r="F106" s="15"/>
      <c r="G106" s="16" t="str">
        <f>IF(D106="","",IFERROR(INDEX(tblProductos[COSTO TOTAL],MATCH(D106,tblProductos[ITEM],0)),""))</f>
        <v/>
      </c>
      <c r="H106" s="16" t="str">
        <f t="shared" si="3"/>
        <v/>
      </c>
      <c r="I106" s="14" t="s">
        <v>42</v>
      </c>
      <c r="J106" s="14" t="s">
        <v>43</v>
      </c>
      <c r="K106" s="14"/>
    </row>
    <row r="107" spans="1:11" x14ac:dyDescent="0.3">
      <c r="A107" s="13"/>
      <c r="B107" s="14" t="str">
        <f t="shared" si="2"/>
        <v/>
      </c>
      <c r="C107" s="14"/>
      <c r="D107" s="14"/>
      <c r="E107" s="14" t="str">
        <f>IF(D107="","",IFERROR(INDEX(tblProductos[CATEGORIA],MATCH(D107,tblProductos[ITEM],0)),""))</f>
        <v/>
      </c>
      <c r="F107" s="15"/>
      <c r="G107" s="16" t="str">
        <f>IF(D107="","",IFERROR(INDEX(tblProductos[COSTO TOTAL],MATCH(D107,tblProductos[ITEM],0)),""))</f>
        <v/>
      </c>
      <c r="H107" s="16" t="str">
        <f t="shared" si="3"/>
        <v/>
      </c>
      <c r="I107" s="14" t="s">
        <v>42</v>
      </c>
      <c r="J107" s="14" t="s">
        <v>43</v>
      </c>
      <c r="K107" s="14"/>
    </row>
    <row r="108" spans="1:11" x14ac:dyDescent="0.3">
      <c r="A108" s="13"/>
      <c r="B108" s="14" t="str">
        <f t="shared" si="2"/>
        <v/>
      </c>
      <c r="C108" s="14"/>
      <c r="D108" s="14"/>
      <c r="E108" s="14" t="str">
        <f>IF(D108="","",IFERROR(INDEX(tblProductos[CATEGORIA],MATCH(D108,tblProductos[ITEM],0)),""))</f>
        <v/>
      </c>
      <c r="F108" s="15"/>
      <c r="G108" s="16" t="str">
        <f>IF(D108="","",IFERROR(INDEX(tblProductos[COSTO TOTAL],MATCH(D108,tblProductos[ITEM],0)),""))</f>
        <v/>
      </c>
      <c r="H108" s="16" t="str">
        <f t="shared" si="3"/>
        <v/>
      </c>
      <c r="I108" s="14" t="s">
        <v>42</v>
      </c>
      <c r="J108" s="14" t="s">
        <v>43</v>
      </c>
      <c r="K108" s="14"/>
    </row>
    <row r="109" spans="1:11" x14ac:dyDescent="0.3">
      <c r="A109" s="13"/>
      <c r="B109" s="14" t="str">
        <f t="shared" si="2"/>
        <v/>
      </c>
      <c r="C109" s="14"/>
      <c r="D109" s="14"/>
      <c r="E109" s="14" t="str">
        <f>IF(D109="","",IFERROR(INDEX(tblProductos[CATEGORIA],MATCH(D109,tblProductos[ITEM],0)),""))</f>
        <v/>
      </c>
      <c r="F109" s="15"/>
      <c r="G109" s="16" t="str">
        <f>IF(D109="","",IFERROR(INDEX(tblProductos[COSTO TOTAL],MATCH(D109,tblProductos[ITEM],0)),""))</f>
        <v/>
      </c>
      <c r="H109" s="16" t="str">
        <f t="shared" si="3"/>
        <v/>
      </c>
      <c r="I109" s="14" t="s">
        <v>42</v>
      </c>
      <c r="J109" s="14" t="s">
        <v>43</v>
      </c>
      <c r="K109" s="14"/>
    </row>
    <row r="110" spans="1:11" x14ac:dyDescent="0.3">
      <c r="A110" s="13"/>
      <c r="B110" s="14" t="str">
        <f t="shared" si="2"/>
        <v/>
      </c>
      <c r="C110" s="14"/>
      <c r="D110" s="14"/>
      <c r="E110" s="14" t="str">
        <f>IF(D110="","",IFERROR(INDEX(tblProductos[CATEGORIA],MATCH(D110,tblProductos[ITEM],0)),""))</f>
        <v/>
      </c>
      <c r="F110" s="15"/>
      <c r="G110" s="16" t="str">
        <f>IF(D110="","",IFERROR(INDEX(tblProductos[COSTO TOTAL],MATCH(D110,tblProductos[ITEM],0)),""))</f>
        <v/>
      </c>
      <c r="H110" s="16" t="str">
        <f t="shared" si="3"/>
        <v/>
      </c>
      <c r="I110" s="14" t="s">
        <v>42</v>
      </c>
      <c r="J110" s="14" t="s">
        <v>43</v>
      </c>
      <c r="K110" s="14"/>
    </row>
    <row r="111" spans="1:11" x14ac:dyDescent="0.3">
      <c r="A111" s="13"/>
      <c r="B111" s="14" t="str">
        <f t="shared" si="2"/>
        <v/>
      </c>
      <c r="C111" s="14"/>
      <c r="D111" s="14"/>
      <c r="E111" s="14" t="str">
        <f>IF(D111="","",IFERROR(INDEX(tblProductos[CATEGORIA],MATCH(D111,tblProductos[ITEM],0)),""))</f>
        <v/>
      </c>
      <c r="F111" s="15"/>
      <c r="G111" s="16" t="str">
        <f>IF(D111="","",IFERROR(INDEX(tblProductos[COSTO TOTAL],MATCH(D111,tblProductos[ITEM],0)),""))</f>
        <v/>
      </c>
      <c r="H111" s="16" t="str">
        <f t="shared" si="3"/>
        <v/>
      </c>
      <c r="I111" s="14" t="s">
        <v>42</v>
      </c>
      <c r="J111" s="14" t="s">
        <v>43</v>
      </c>
      <c r="K111" s="14"/>
    </row>
    <row r="112" spans="1:11" x14ac:dyDescent="0.3">
      <c r="A112" s="13"/>
      <c r="B112" s="14" t="str">
        <f t="shared" si="2"/>
        <v/>
      </c>
      <c r="C112" s="14"/>
      <c r="D112" s="14"/>
      <c r="E112" s="14" t="str">
        <f>IF(D112="","",IFERROR(INDEX(tblProductos[CATEGORIA],MATCH(D112,tblProductos[ITEM],0)),""))</f>
        <v/>
      </c>
      <c r="F112" s="15"/>
      <c r="G112" s="16" t="str">
        <f>IF(D112="","",IFERROR(INDEX(tblProductos[COSTO TOTAL],MATCH(D112,tblProductos[ITEM],0)),""))</f>
        <v/>
      </c>
      <c r="H112" s="16" t="str">
        <f t="shared" si="3"/>
        <v/>
      </c>
      <c r="I112" s="14" t="s">
        <v>42</v>
      </c>
      <c r="J112" s="14" t="s">
        <v>43</v>
      </c>
      <c r="K112" s="14"/>
    </row>
    <row r="113" spans="1:11" x14ac:dyDescent="0.3">
      <c r="A113" s="13"/>
      <c r="B113" s="14" t="str">
        <f t="shared" si="2"/>
        <v/>
      </c>
      <c r="C113" s="14"/>
      <c r="D113" s="14"/>
      <c r="E113" s="14" t="str">
        <f>IF(D113="","",IFERROR(INDEX(tblProductos[CATEGORIA],MATCH(D113,tblProductos[ITEM],0)),""))</f>
        <v/>
      </c>
      <c r="F113" s="15"/>
      <c r="G113" s="16" t="str">
        <f>IF(D113="","",IFERROR(INDEX(tblProductos[COSTO TOTAL],MATCH(D113,tblProductos[ITEM],0)),""))</f>
        <v/>
      </c>
      <c r="H113" s="16" t="str">
        <f t="shared" si="3"/>
        <v/>
      </c>
      <c r="I113" s="14" t="s">
        <v>42</v>
      </c>
      <c r="J113" s="14" t="s">
        <v>43</v>
      </c>
      <c r="K113" s="14"/>
    </row>
    <row r="114" spans="1:11" x14ac:dyDescent="0.3">
      <c r="A114" s="13"/>
      <c r="B114" s="14" t="str">
        <f t="shared" si="2"/>
        <v/>
      </c>
      <c r="C114" s="14"/>
      <c r="D114" s="14"/>
      <c r="E114" s="14" t="str">
        <f>IF(D114="","",IFERROR(INDEX(tblProductos[CATEGORIA],MATCH(D114,tblProductos[ITEM],0)),""))</f>
        <v/>
      </c>
      <c r="F114" s="15"/>
      <c r="G114" s="16" t="str">
        <f>IF(D114="","",IFERROR(INDEX(tblProductos[COSTO TOTAL],MATCH(D114,tblProductos[ITEM],0)),""))</f>
        <v/>
      </c>
      <c r="H114" s="16" t="str">
        <f t="shared" si="3"/>
        <v/>
      </c>
      <c r="I114" s="14" t="s">
        <v>42</v>
      </c>
      <c r="J114" s="14" t="s">
        <v>43</v>
      </c>
      <c r="K114" s="14"/>
    </row>
    <row r="115" spans="1:11" x14ac:dyDescent="0.3">
      <c r="A115" s="13"/>
      <c r="B115" s="14" t="str">
        <f t="shared" si="2"/>
        <v/>
      </c>
      <c r="C115" s="14"/>
      <c r="D115" s="14"/>
      <c r="E115" s="14" t="str">
        <f>IF(D115="","",IFERROR(INDEX(tblProductos[CATEGORIA],MATCH(D115,tblProductos[ITEM],0)),""))</f>
        <v/>
      </c>
      <c r="F115" s="15"/>
      <c r="G115" s="16" t="str">
        <f>IF(D115="","",IFERROR(INDEX(tblProductos[COSTO TOTAL],MATCH(D115,tblProductos[ITEM],0)),""))</f>
        <v/>
      </c>
      <c r="H115" s="16" t="str">
        <f t="shared" si="3"/>
        <v/>
      </c>
      <c r="I115" s="14" t="s">
        <v>42</v>
      </c>
      <c r="J115" s="14" t="s">
        <v>43</v>
      </c>
      <c r="K115" s="14"/>
    </row>
    <row r="116" spans="1:11" x14ac:dyDescent="0.3">
      <c r="A116" s="13"/>
      <c r="B116" s="14" t="str">
        <f t="shared" si="2"/>
        <v/>
      </c>
      <c r="C116" s="14"/>
      <c r="D116" s="14"/>
      <c r="E116" s="14" t="str">
        <f>IF(D116="","",IFERROR(INDEX(tblProductos[CATEGORIA],MATCH(D116,tblProductos[ITEM],0)),""))</f>
        <v/>
      </c>
      <c r="F116" s="15"/>
      <c r="G116" s="16" t="str">
        <f>IF(D116="","",IFERROR(INDEX(tblProductos[COSTO TOTAL],MATCH(D116,tblProductos[ITEM],0)),""))</f>
        <v/>
      </c>
      <c r="H116" s="16" t="str">
        <f t="shared" si="3"/>
        <v/>
      </c>
      <c r="I116" s="14" t="s">
        <v>42</v>
      </c>
      <c r="J116" s="14" t="s">
        <v>43</v>
      </c>
      <c r="K116" s="14"/>
    </row>
    <row r="117" spans="1:11" x14ac:dyDescent="0.3">
      <c r="A117" s="13"/>
      <c r="B117" s="14" t="str">
        <f t="shared" si="2"/>
        <v/>
      </c>
      <c r="C117" s="14"/>
      <c r="D117" s="14"/>
      <c r="E117" s="14" t="str">
        <f>IF(D117="","",IFERROR(INDEX(tblProductos[CATEGORIA],MATCH(D117,tblProductos[ITEM],0)),""))</f>
        <v/>
      </c>
      <c r="F117" s="15"/>
      <c r="G117" s="16" t="str">
        <f>IF(D117="","",IFERROR(INDEX(tblProductos[COSTO TOTAL],MATCH(D117,tblProductos[ITEM],0)),""))</f>
        <v/>
      </c>
      <c r="H117" s="16" t="str">
        <f t="shared" si="3"/>
        <v/>
      </c>
      <c r="I117" s="14" t="s">
        <v>42</v>
      </c>
      <c r="J117" s="14" t="s">
        <v>43</v>
      </c>
      <c r="K117" s="14"/>
    </row>
    <row r="118" spans="1:11" x14ac:dyDescent="0.3">
      <c r="A118" s="13"/>
      <c r="B118" s="14" t="str">
        <f t="shared" si="2"/>
        <v/>
      </c>
      <c r="C118" s="14"/>
      <c r="D118" s="14"/>
      <c r="E118" s="14" t="str">
        <f>IF(D118="","",IFERROR(INDEX(tblProductos[CATEGORIA],MATCH(D118,tblProductos[ITEM],0)),""))</f>
        <v/>
      </c>
      <c r="F118" s="15"/>
      <c r="G118" s="16" t="str">
        <f>IF(D118="","",IFERROR(INDEX(tblProductos[COSTO TOTAL],MATCH(D118,tblProductos[ITEM],0)),""))</f>
        <v/>
      </c>
      <c r="H118" s="16" t="str">
        <f t="shared" si="3"/>
        <v/>
      </c>
      <c r="I118" s="14" t="s">
        <v>42</v>
      </c>
      <c r="J118" s="14" t="s">
        <v>43</v>
      </c>
      <c r="K118" s="14"/>
    </row>
    <row r="119" spans="1:11" x14ac:dyDescent="0.3">
      <c r="A119" s="13"/>
      <c r="B119" s="14" t="str">
        <f t="shared" si="2"/>
        <v/>
      </c>
      <c r="C119" s="14"/>
      <c r="D119" s="14"/>
      <c r="E119" s="14" t="str">
        <f>IF(D119="","",IFERROR(INDEX(tblProductos[CATEGORIA],MATCH(D119,tblProductos[ITEM],0)),""))</f>
        <v/>
      </c>
      <c r="F119" s="15"/>
      <c r="G119" s="16" t="str">
        <f>IF(D119="","",IFERROR(INDEX(tblProductos[COSTO TOTAL],MATCH(D119,tblProductos[ITEM],0)),""))</f>
        <v/>
      </c>
      <c r="H119" s="16" t="str">
        <f t="shared" si="3"/>
        <v/>
      </c>
      <c r="I119" s="14" t="s">
        <v>42</v>
      </c>
      <c r="J119" s="14" t="s">
        <v>43</v>
      </c>
      <c r="K119" s="14"/>
    </row>
    <row r="120" spans="1:11" x14ac:dyDescent="0.3">
      <c r="A120" s="13"/>
      <c r="B120" s="14" t="str">
        <f t="shared" si="2"/>
        <v/>
      </c>
      <c r="C120" s="14"/>
      <c r="D120" s="14"/>
      <c r="E120" s="14" t="str">
        <f>IF(D120="","",IFERROR(INDEX(tblProductos[CATEGORIA],MATCH(D120,tblProductos[ITEM],0)),""))</f>
        <v/>
      </c>
      <c r="F120" s="15"/>
      <c r="G120" s="16" t="str">
        <f>IF(D120="","",IFERROR(INDEX(tblProductos[COSTO TOTAL],MATCH(D120,tblProductos[ITEM],0)),""))</f>
        <v/>
      </c>
      <c r="H120" s="16" t="str">
        <f t="shared" si="3"/>
        <v/>
      </c>
      <c r="I120" s="14" t="s">
        <v>42</v>
      </c>
      <c r="J120" s="14" t="s">
        <v>43</v>
      </c>
      <c r="K120" s="14"/>
    </row>
    <row r="121" spans="1:11" x14ac:dyDescent="0.3">
      <c r="A121" s="13"/>
      <c r="B121" s="14" t="str">
        <f t="shared" si="2"/>
        <v/>
      </c>
      <c r="C121" s="14"/>
      <c r="D121" s="14"/>
      <c r="E121" s="14" t="str">
        <f>IF(D121="","",IFERROR(INDEX(tblProductos[CATEGORIA],MATCH(D121,tblProductos[ITEM],0)),""))</f>
        <v/>
      </c>
      <c r="F121" s="15"/>
      <c r="G121" s="16" t="str">
        <f>IF(D121="","",IFERROR(INDEX(tblProductos[COSTO TOTAL],MATCH(D121,tblProductos[ITEM],0)),""))</f>
        <v/>
      </c>
      <c r="H121" s="16" t="str">
        <f t="shared" si="3"/>
        <v/>
      </c>
      <c r="I121" s="14" t="s">
        <v>42</v>
      </c>
      <c r="J121" s="14" t="s">
        <v>43</v>
      </c>
      <c r="K121" s="14"/>
    </row>
    <row r="122" spans="1:11" x14ac:dyDescent="0.3">
      <c r="A122" s="13"/>
      <c r="B122" s="14" t="str">
        <f t="shared" si="2"/>
        <v/>
      </c>
      <c r="C122" s="14"/>
      <c r="D122" s="14"/>
      <c r="E122" s="14" t="str">
        <f>IF(D122="","",IFERROR(INDEX(tblProductos[CATEGORIA],MATCH(D122,tblProductos[ITEM],0)),""))</f>
        <v/>
      </c>
      <c r="F122" s="15"/>
      <c r="G122" s="16" t="str">
        <f>IF(D122="","",IFERROR(INDEX(tblProductos[COSTO TOTAL],MATCH(D122,tblProductos[ITEM],0)),""))</f>
        <v/>
      </c>
      <c r="H122" s="16" t="str">
        <f t="shared" si="3"/>
        <v/>
      </c>
      <c r="I122" s="14" t="s">
        <v>42</v>
      </c>
      <c r="J122" s="14" t="s">
        <v>43</v>
      </c>
      <c r="K122" s="14"/>
    </row>
    <row r="123" spans="1:11" x14ac:dyDescent="0.3">
      <c r="A123" s="13"/>
      <c r="B123" s="14" t="str">
        <f t="shared" si="2"/>
        <v/>
      </c>
      <c r="C123" s="14"/>
      <c r="D123" s="14"/>
      <c r="E123" s="14" t="str">
        <f>IF(D123="","",IFERROR(INDEX(tblProductos[CATEGORIA],MATCH(D123,tblProductos[ITEM],0)),""))</f>
        <v/>
      </c>
      <c r="F123" s="15"/>
      <c r="G123" s="16" t="str">
        <f>IF(D123="","",IFERROR(INDEX(tblProductos[COSTO TOTAL],MATCH(D123,tblProductos[ITEM],0)),""))</f>
        <v/>
      </c>
      <c r="H123" s="16" t="str">
        <f t="shared" si="3"/>
        <v/>
      </c>
      <c r="I123" s="14" t="s">
        <v>42</v>
      </c>
      <c r="J123" s="14" t="s">
        <v>43</v>
      </c>
      <c r="K123" s="14"/>
    </row>
    <row r="124" spans="1:11" x14ac:dyDescent="0.3">
      <c r="A124" s="13"/>
      <c r="B124" s="14" t="str">
        <f t="shared" si="2"/>
        <v/>
      </c>
      <c r="C124" s="14"/>
      <c r="D124" s="14"/>
      <c r="E124" s="14" t="str">
        <f>IF(D124="","",IFERROR(INDEX(tblProductos[CATEGORIA],MATCH(D124,tblProductos[ITEM],0)),""))</f>
        <v/>
      </c>
      <c r="F124" s="15"/>
      <c r="G124" s="16" t="str">
        <f>IF(D124="","",IFERROR(INDEX(tblProductos[COSTO TOTAL],MATCH(D124,tblProductos[ITEM],0)),""))</f>
        <v/>
      </c>
      <c r="H124" s="16" t="str">
        <f t="shared" si="3"/>
        <v/>
      </c>
      <c r="I124" s="14" t="s">
        <v>42</v>
      </c>
      <c r="J124" s="14" t="s">
        <v>43</v>
      </c>
      <c r="K124" s="14"/>
    </row>
    <row r="125" spans="1:11" x14ac:dyDescent="0.3">
      <c r="A125" s="13"/>
      <c r="B125" s="14" t="str">
        <f t="shared" si="2"/>
        <v/>
      </c>
      <c r="C125" s="14"/>
      <c r="D125" s="14"/>
      <c r="E125" s="14" t="str">
        <f>IF(D125="","",IFERROR(INDEX(tblProductos[CATEGORIA],MATCH(D125,tblProductos[ITEM],0)),""))</f>
        <v/>
      </c>
      <c r="F125" s="15"/>
      <c r="G125" s="16" t="str">
        <f>IF(D125="","",IFERROR(INDEX(tblProductos[COSTO TOTAL],MATCH(D125,tblProductos[ITEM],0)),""))</f>
        <v/>
      </c>
      <c r="H125" s="16" t="str">
        <f t="shared" si="3"/>
        <v/>
      </c>
      <c r="I125" s="14" t="s">
        <v>42</v>
      </c>
      <c r="J125" s="14" t="s">
        <v>43</v>
      </c>
      <c r="K125" s="14"/>
    </row>
    <row r="126" spans="1:11" x14ac:dyDescent="0.3">
      <c r="A126" s="13"/>
      <c r="B126" s="14" t="str">
        <f t="shared" si="2"/>
        <v/>
      </c>
      <c r="C126" s="14"/>
      <c r="D126" s="14"/>
      <c r="E126" s="14" t="str">
        <f>IF(D126="","",IFERROR(INDEX(tblProductos[CATEGORIA],MATCH(D126,tblProductos[ITEM],0)),""))</f>
        <v/>
      </c>
      <c r="F126" s="15"/>
      <c r="G126" s="16" t="str">
        <f>IF(D126="","",IFERROR(INDEX(tblProductos[COSTO TOTAL],MATCH(D126,tblProductos[ITEM],0)),""))</f>
        <v/>
      </c>
      <c r="H126" s="16" t="str">
        <f t="shared" si="3"/>
        <v/>
      </c>
      <c r="I126" s="14" t="s">
        <v>42</v>
      </c>
      <c r="J126" s="14" t="s">
        <v>43</v>
      </c>
      <c r="K126" s="14"/>
    </row>
    <row r="127" spans="1:11" x14ac:dyDescent="0.3">
      <c r="A127" s="13"/>
      <c r="B127" s="14" t="str">
        <f t="shared" si="2"/>
        <v/>
      </c>
      <c r="C127" s="14"/>
      <c r="D127" s="14"/>
      <c r="E127" s="14" t="str">
        <f>IF(D127="","",IFERROR(INDEX(tblProductos[CATEGORIA],MATCH(D127,tblProductos[ITEM],0)),""))</f>
        <v/>
      </c>
      <c r="F127" s="15"/>
      <c r="G127" s="16" t="str">
        <f>IF(D127="","",IFERROR(INDEX(tblProductos[COSTO TOTAL],MATCH(D127,tblProductos[ITEM],0)),""))</f>
        <v/>
      </c>
      <c r="H127" s="16" t="str">
        <f t="shared" si="3"/>
        <v/>
      </c>
      <c r="I127" s="14" t="s">
        <v>42</v>
      </c>
      <c r="J127" s="14" t="s">
        <v>43</v>
      </c>
      <c r="K127" s="14"/>
    </row>
    <row r="128" spans="1:11" x14ac:dyDescent="0.3">
      <c r="A128" s="13"/>
      <c r="B128" s="14" t="str">
        <f t="shared" si="2"/>
        <v/>
      </c>
      <c r="C128" s="14"/>
      <c r="D128" s="14"/>
      <c r="E128" s="14" t="str">
        <f>IF(D128="","",IFERROR(INDEX(tblProductos[CATEGORIA],MATCH(D128,tblProductos[ITEM],0)),""))</f>
        <v/>
      </c>
      <c r="F128" s="15"/>
      <c r="G128" s="16" t="str">
        <f>IF(D128="","",IFERROR(INDEX(tblProductos[COSTO TOTAL],MATCH(D128,tblProductos[ITEM],0)),""))</f>
        <v/>
      </c>
      <c r="H128" s="16" t="str">
        <f t="shared" si="3"/>
        <v/>
      </c>
      <c r="I128" s="14" t="s">
        <v>42</v>
      </c>
      <c r="J128" s="14" t="s">
        <v>43</v>
      </c>
      <c r="K128" s="14"/>
    </row>
    <row r="129" spans="1:11" x14ac:dyDescent="0.3">
      <c r="A129" s="13"/>
      <c r="B129" s="14" t="str">
        <f t="shared" si="2"/>
        <v/>
      </c>
      <c r="C129" s="14"/>
      <c r="D129" s="14"/>
      <c r="E129" s="14" t="str">
        <f>IF(D129="","",IFERROR(INDEX(tblProductos[CATEGORIA],MATCH(D129,tblProductos[ITEM],0)),""))</f>
        <v/>
      </c>
      <c r="F129" s="15"/>
      <c r="G129" s="16" t="str">
        <f>IF(D129="","",IFERROR(INDEX(tblProductos[COSTO TOTAL],MATCH(D129,tblProductos[ITEM],0)),""))</f>
        <v/>
      </c>
      <c r="H129" s="16" t="str">
        <f t="shared" si="3"/>
        <v/>
      </c>
      <c r="I129" s="14" t="s">
        <v>42</v>
      </c>
      <c r="J129" s="14" t="s">
        <v>43</v>
      </c>
      <c r="K129" s="14"/>
    </row>
    <row r="130" spans="1:11" x14ac:dyDescent="0.3">
      <c r="A130" s="13"/>
      <c r="B130" s="14" t="str">
        <f t="shared" ref="B130:B193" si="4">IF(A130="","", "C"&amp;TEXT(A130,"yymmdd")&amp;"-"&amp;TEXT(ROW()-1,"0000"))</f>
        <v/>
      </c>
      <c r="C130" s="14"/>
      <c r="D130" s="14"/>
      <c r="E130" s="14" t="str">
        <f>IF(D130="","",IFERROR(INDEX(tblProductos[CATEGORIA],MATCH(D130,tblProductos[ITEM],0)),""))</f>
        <v/>
      </c>
      <c r="F130" s="15"/>
      <c r="G130" s="16" t="str">
        <f>IF(D130="","",IFERROR(INDEX(tblProductos[COSTO TOTAL],MATCH(D130,tblProductos[ITEM],0)),""))</f>
        <v/>
      </c>
      <c r="H130" s="16" t="str">
        <f t="shared" ref="H130:H193" si="5">IF(F130="","",F130*G130)</f>
        <v/>
      </c>
      <c r="I130" s="14" t="s">
        <v>42</v>
      </c>
      <c r="J130" s="14" t="s">
        <v>43</v>
      </c>
      <c r="K130" s="14"/>
    </row>
    <row r="131" spans="1:11" x14ac:dyDescent="0.3">
      <c r="A131" s="13"/>
      <c r="B131" s="14" t="str">
        <f t="shared" si="4"/>
        <v/>
      </c>
      <c r="C131" s="14"/>
      <c r="D131" s="14"/>
      <c r="E131" s="14" t="str">
        <f>IF(D131="","",IFERROR(INDEX(tblProductos[CATEGORIA],MATCH(D131,tblProductos[ITEM],0)),""))</f>
        <v/>
      </c>
      <c r="F131" s="15"/>
      <c r="G131" s="16" t="str">
        <f>IF(D131="","",IFERROR(INDEX(tblProductos[COSTO TOTAL],MATCH(D131,tblProductos[ITEM],0)),""))</f>
        <v/>
      </c>
      <c r="H131" s="16" t="str">
        <f t="shared" si="5"/>
        <v/>
      </c>
      <c r="I131" s="14" t="s">
        <v>42</v>
      </c>
      <c r="J131" s="14" t="s">
        <v>43</v>
      </c>
      <c r="K131" s="14"/>
    </row>
    <row r="132" spans="1:11" x14ac:dyDescent="0.3">
      <c r="A132" s="13"/>
      <c r="B132" s="14" t="str">
        <f t="shared" si="4"/>
        <v/>
      </c>
      <c r="C132" s="14"/>
      <c r="D132" s="14"/>
      <c r="E132" s="14" t="str">
        <f>IF(D132="","",IFERROR(INDEX(tblProductos[CATEGORIA],MATCH(D132,tblProductos[ITEM],0)),""))</f>
        <v/>
      </c>
      <c r="F132" s="15"/>
      <c r="G132" s="16" t="str">
        <f>IF(D132="","",IFERROR(INDEX(tblProductos[COSTO TOTAL],MATCH(D132,tblProductos[ITEM],0)),""))</f>
        <v/>
      </c>
      <c r="H132" s="16" t="str">
        <f t="shared" si="5"/>
        <v/>
      </c>
      <c r="I132" s="14" t="s">
        <v>42</v>
      </c>
      <c r="J132" s="14" t="s">
        <v>43</v>
      </c>
      <c r="K132" s="14"/>
    </row>
    <row r="133" spans="1:11" x14ac:dyDescent="0.3">
      <c r="A133" s="13"/>
      <c r="B133" s="14" t="str">
        <f t="shared" si="4"/>
        <v/>
      </c>
      <c r="C133" s="14"/>
      <c r="D133" s="14"/>
      <c r="E133" s="14" t="str">
        <f>IF(D133="","",IFERROR(INDEX(tblProductos[CATEGORIA],MATCH(D133,tblProductos[ITEM],0)),""))</f>
        <v/>
      </c>
      <c r="F133" s="15"/>
      <c r="G133" s="16" t="str">
        <f>IF(D133="","",IFERROR(INDEX(tblProductos[COSTO TOTAL],MATCH(D133,tblProductos[ITEM],0)),""))</f>
        <v/>
      </c>
      <c r="H133" s="16" t="str">
        <f t="shared" si="5"/>
        <v/>
      </c>
      <c r="I133" s="14" t="s">
        <v>42</v>
      </c>
      <c r="J133" s="14" t="s">
        <v>43</v>
      </c>
      <c r="K133" s="14"/>
    </row>
    <row r="134" spans="1:11" x14ac:dyDescent="0.3">
      <c r="A134" s="13"/>
      <c r="B134" s="14" t="str">
        <f t="shared" si="4"/>
        <v/>
      </c>
      <c r="C134" s="14"/>
      <c r="D134" s="14"/>
      <c r="E134" s="14" t="str">
        <f>IF(D134="","",IFERROR(INDEX(tblProductos[CATEGORIA],MATCH(D134,tblProductos[ITEM],0)),""))</f>
        <v/>
      </c>
      <c r="F134" s="15"/>
      <c r="G134" s="16" t="str">
        <f>IF(D134="","",IFERROR(INDEX(tblProductos[COSTO TOTAL],MATCH(D134,tblProductos[ITEM],0)),""))</f>
        <v/>
      </c>
      <c r="H134" s="16" t="str">
        <f t="shared" si="5"/>
        <v/>
      </c>
      <c r="I134" s="14" t="s">
        <v>42</v>
      </c>
      <c r="J134" s="14" t="s">
        <v>43</v>
      </c>
      <c r="K134" s="14"/>
    </row>
    <row r="135" spans="1:11" x14ac:dyDescent="0.3">
      <c r="A135" s="13"/>
      <c r="B135" s="14" t="str">
        <f t="shared" si="4"/>
        <v/>
      </c>
      <c r="C135" s="14"/>
      <c r="D135" s="14"/>
      <c r="E135" s="14" t="str">
        <f>IF(D135="","",IFERROR(INDEX(tblProductos[CATEGORIA],MATCH(D135,tblProductos[ITEM],0)),""))</f>
        <v/>
      </c>
      <c r="F135" s="15"/>
      <c r="G135" s="16" t="str">
        <f>IF(D135="","",IFERROR(INDEX(tblProductos[COSTO TOTAL],MATCH(D135,tblProductos[ITEM],0)),""))</f>
        <v/>
      </c>
      <c r="H135" s="16" t="str">
        <f t="shared" si="5"/>
        <v/>
      </c>
      <c r="I135" s="14" t="s">
        <v>42</v>
      </c>
      <c r="J135" s="14" t="s">
        <v>43</v>
      </c>
      <c r="K135" s="14"/>
    </row>
    <row r="136" spans="1:11" x14ac:dyDescent="0.3">
      <c r="A136" s="13"/>
      <c r="B136" s="14" t="str">
        <f t="shared" si="4"/>
        <v/>
      </c>
      <c r="C136" s="14"/>
      <c r="D136" s="14"/>
      <c r="E136" s="14" t="str">
        <f>IF(D136="","",IFERROR(INDEX(tblProductos[CATEGORIA],MATCH(D136,tblProductos[ITEM],0)),""))</f>
        <v/>
      </c>
      <c r="F136" s="15"/>
      <c r="G136" s="16" t="str">
        <f>IF(D136="","",IFERROR(INDEX(tblProductos[COSTO TOTAL],MATCH(D136,tblProductos[ITEM],0)),""))</f>
        <v/>
      </c>
      <c r="H136" s="16" t="str">
        <f t="shared" si="5"/>
        <v/>
      </c>
      <c r="I136" s="14" t="s">
        <v>42</v>
      </c>
      <c r="J136" s="14" t="s">
        <v>43</v>
      </c>
      <c r="K136" s="14"/>
    </row>
    <row r="137" spans="1:11" x14ac:dyDescent="0.3">
      <c r="A137" s="13"/>
      <c r="B137" s="14" t="str">
        <f t="shared" si="4"/>
        <v/>
      </c>
      <c r="C137" s="14"/>
      <c r="D137" s="14"/>
      <c r="E137" s="14" t="str">
        <f>IF(D137="","",IFERROR(INDEX(tblProductos[CATEGORIA],MATCH(D137,tblProductos[ITEM],0)),""))</f>
        <v/>
      </c>
      <c r="F137" s="15"/>
      <c r="G137" s="16" t="str">
        <f>IF(D137="","",IFERROR(INDEX(tblProductos[COSTO TOTAL],MATCH(D137,tblProductos[ITEM],0)),""))</f>
        <v/>
      </c>
      <c r="H137" s="16" t="str">
        <f t="shared" si="5"/>
        <v/>
      </c>
      <c r="I137" s="14" t="s">
        <v>42</v>
      </c>
      <c r="J137" s="14" t="s">
        <v>43</v>
      </c>
      <c r="K137" s="14"/>
    </row>
    <row r="138" spans="1:11" x14ac:dyDescent="0.3">
      <c r="A138" s="13"/>
      <c r="B138" s="14" t="str">
        <f t="shared" si="4"/>
        <v/>
      </c>
      <c r="C138" s="14"/>
      <c r="D138" s="14"/>
      <c r="E138" s="14" t="str">
        <f>IF(D138="","",IFERROR(INDEX(tblProductos[CATEGORIA],MATCH(D138,tblProductos[ITEM],0)),""))</f>
        <v/>
      </c>
      <c r="F138" s="15"/>
      <c r="G138" s="16" t="str">
        <f>IF(D138="","",IFERROR(INDEX(tblProductos[COSTO TOTAL],MATCH(D138,tblProductos[ITEM],0)),""))</f>
        <v/>
      </c>
      <c r="H138" s="16" t="str">
        <f t="shared" si="5"/>
        <v/>
      </c>
      <c r="I138" s="14" t="s">
        <v>42</v>
      </c>
      <c r="J138" s="14" t="s">
        <v>43</v>
      </c>
      <c r="K138" s="14"/>
    </row>
    <row r="139" spans="1:11" x14ac:dyDescent="0.3">
      <c r="A139" s="13"/>
      <c r="B139" s="14" t="str">
        <f t="shared" si="4"/>
        <v/>
      </c>
      <c r="C139" s="14"/>
      <c r="D139" s="14"/>
      <c r="E139" s="14" t="str">
        <f>IF(D139="","",IFERROR(INDEX(tblProductos[CATEGORIA],MATCH(D139,tblProductos[ITEM],0)),""))</f>
        <v/>
      </c>
      <c r="F139" s="15"/>
      <c r="G139" s="16" t="str">
        <f>IF(D139="","",IFERROR(INDEX(tblProductos[COSTO TOTAL],MATCH(D139,tblProductos[ITEM],0)),""))</f>
        <v/>
      </c>
      <c r="H139" s="16" t="str">
        <f t="shared" si="5"/>
        <v/>
      </c>
      <c r="I139" s="14" t="s">
        <v>42</v>
      </c>
      <c r="J139" s="14" t="s">
        <v>43</v>
      </c>
      <c r="K139" s="14"/>
    </row>
    <row r="140" spans="1:11" x14ac:dyDescent="0.3">
      <c r="A140" s="13"/>
      <c r="B140" s="14" t="str">
        <f t="shared" si="4"/>
        <v/>
      </c>
      <c r="C140" s="14"/>
      <c r="D140" s="14"/>
      <c r="E140" s="14" t="str">
        <f>IF(D140="","",IFERROR(INDEX(tblProductos[CATEGORIA],MATCH(D140,tblProductos[ITEM],0)),""))</f>
        <v/>
      </c>
      <c r="F140" s="15"/>
      <c r="G140" s="16" t="str">
        <f>IF(D140="","",IFERROR(INDEX(tblProductos[COSTO TOTAL],MATCH(D140,tblProductos[ITEM],0)),""))</f>
        <v/>
      </c>
      <c r="H140" s="16" t="str">
        <f t="shared" si="5"/>
        <v/>
      </c>
      <c r="I140" s="14" t="s">
        <v>42</v>
      </c>
      <c r="J140" s="14" t="s">
        <v>43</v>
      </c>
      <c r="K140" s="14"/>
    </row>
    <row r="141" spans="1:11" x14ac:dyDescent="0.3">
      <c r="A141" s="13"/>
      <c r="B141" s="14" t="str">
        <f t="shared" si="4"/>
        <v/>
      </c>
      <c r="C141" s="14"/>
      <c r="D141" s="14"/>
      <c r="E141" s="14" t="str">
        <f>IF(D141="","",IFERROR(INDEX(tblProductos[CATEGORIA],MATCH(D141,tblProductos[ITEM],0)),""))</f>
        <v/>
      </c>
      <c r="F141" s="15"/>
      <c r="G141" s="16" t="str">
        <f>IF(D141="","",IFERROR(INDEX(tblProductos[COSTO TOTAL],MATCH(D141,tblProductos[ITEM],0)),""))</f>
        <v/>
      </c>
      <c r="H141" s="16" t="str">
        <f t="shared" si="5"/>
        <v/>
      </c>
      <c r="I141" s="14" t="s">
        <v>42</v>
      </c>
      <c r="J141" s="14" t="s">
        <v>43</v>
      </c>
      <c r="K141" s="14"/>
    </row>
    <row r="142" spans="1:11" x14ac:dyDescent="0.3">
      <c r="A142" s="13"/>
      <c r="B142" s="14" t="str">
        <f t="shared" si="4"/>
        <v/>
      </c>
      <c r="C142" s="14"/>
      <c r="D142" s="14"/>
      <c r="E142" s="14" t="str">
        <f>IF(D142="","",IFERROR(INDEX(tblProductos[CATEGORIA],MATCH(D142,tblProductos[ITEM],0)),""))</f>
        <v/>
      </c>
      <c r="F142" s="15"/>
      <c r="G142" s="16" t="str">
        <f>IF(D142="","",IFERROR(INDEX(tblProductos[COSTO TOTAL],MATCH(D142,tblProductos[ITEM],0)),""))</f>
        <v/>
      </c>
      <c r="H142" s="16" t="str">
        <f t="shared" si="5"/>
        <v/>
      </c>
      <c r="I142" s="14" t="s">
        <v>42</v>
      </c>
      <c r="J142" s="14" t="s">
        <v>43</v>
      </c>
      <c r="K142" s="14"/>
    </row>
    <row r="143" spans="1:11" x14ac:dyDescent="0.3">
      <c r="A143" s="13"/>
      <c r="B143" s="14" t="str">
        <f t="shared" si="4"/>
        <v/>
      </c>
      <c r="C143" s="14"/>
      <c r="D143" s="14"/>
      <c r="E143" s="14" t="str">
        <f>IF(D143="","",IFERROR(INDEX(tblProductos[CATEGORIA],MATCH(D143,tblProductos[ITEM],0)),""))</f>
        <v/>
      </c>
      <c r="F143" s="15"/>
      <c r="G143" s="16" t="str">
        <f>IF(D143="","",IFERROR(INDEX(tblProductos[COSTO TOTAL],MATCH(D143,tblProductos[ITEM],0)),""))</f>
        <v/>
      </c>
      <c r="H143" s="16" t="str">
        <f t="shared" si="5"/>
        <v/>
      </c>
      <c r="I143" s="14" t="s">
        <v>42</v>
      </c>
      <c r="J143" s="14" t="s">
        <v>43</v>
      </c>
      <c r="K143" s="14"/>
    </row>
    <row r="144" spans="1:11" x14ac:dyDescent="0.3">
      <c r="A144" s="13"/>
      <c r="B144" s="14" t="str">
        <f t="shared" si="4"/>
        <v/>
      </c>
      <c r="C144" s="14"/>
      <c r="D144" s="14"/>
      <c r="E144" s="14" t="str">
        <f>IF(D144="","",IFERROR(INDEX(tblProductos[CATEGORIA],MATCH(D144,tblProductos[ITEM],0)),""))</f>
        <v/>
      </c>
      <c r="F144" s="15"/>
      <c r="G144" s="16" t="str">
        <f>IF(D144="","",IFERROR(INDEX(tblProductos[COSTO TOTAL],MATCH(D144,tblProductos[ITEM],0)),""))</f>
        <v/>
      </c>
      <c r="H144" s="16" t="str">
        <f t="shared" si="5"/>
        <v/>
      </c>
      <c r="I144" s="14" t="s">
        <v>42</v>
      </c>
      <c r="J144" s="14" t="s">
        <v>43</v>
      </c>
      <c r="K144" s="14"/>
    </row>
    <row r="145" spans="1:11" x14ac:dyDescent="0.3">
      <c r="A145" s="13"/>
      <c r="B145" s="14" t="str">
        <f t="shared" si="4"/>
        <v/>
      </c>
      <c r="C145" s="14"/>
      <c r="D145" s="14"/>
      <c r="E145" s="14" t="str">
        <f>IF(D145="","",IFERROR(INDEX(tblProductos[CATEGORIA],MATCH(D145,tblProductos[ITEM],0)),""))</f>
        <v/>
      </c>
      <c r="F145" s="15"/>
      <c r="G145" s="16" t="str">
        <f>IF(D145="","",IFERROR(INDEX(tblProductos[COSTO TOTAL],MATCH(D145,tblProductos[ITEM],0)),""))</f>
        <v/>
      </c>
      <c r="H145" s="16" t="str">
        <f t="shared" si="5"/>
        <v/>
      </c>
      <c r="I145" s="14" t="s">
        <v>42</v>
      </c>
      <c r="J145" s="14" t="s">
        <v>43</v>
      </c>
      <c r="K145" s="14"/>
    </row>
    <row r="146" spans="1:11" x14ac:dyDescent="0.3">
      <c r="A146" s="13"/>
      <c r="B146" s="14" t="str">
        <f t="shared" si="4"/>
        <v/>
      </c>
      <c r="C146" s="14"/>
      <c r="D146" s="14"/>
      <c r="E146" s="14" t="str">
        <f>IF(D146="","",IFERROR(INDEX(tblProductos[CATEGORIA],MATCH(D146,tblProductos[ITEM],0)),""))</f>
        <v/>
      </c>
      <c r="F146" s="15"/>
      <c r="G146" s="16" t="str">
        <f>IF(D146="","",IFERROR(INDEX(tblProductos[COSTO TOTAL],MATCH(D146,tblProductos[ITEM],0)),""))</f>
        <v/>
      </c>
      <c r="H146" s="16" t="str">
        <f t="shared" si="5"/>
        <v/>
      </c>
      <c r="I146" s="14" t="s">
        <v>42</v>
      </c>
      <c r="J146" s="14" t="s">
        <v>43</v>
      </c>
      <c r="K146" s="14"/>
    </row>
    <row r="147" spans="1:11" x14ac:dyDescent="0.3">
      <c r="A147" s="13"/>
      <c r="B147" s="14" t="str">
        <f t="shared" si="4"/>
        <v/>
      </c>
      <c r="C147" s="14"/>
      <c r="D147" s="14"/>
      <c r="E147" s="14" t="str">
        <f>IF(D147="","",IFERROR(INDEX(tblProductos[CATEGORIA],MATCH(D147,tblProductos[ITEM],0)),""))</f>
        <v/>
      </c>
      <c r="F147" s="15"/>
      <c r="G147" s="16" t="str">
        <f>IF(D147="","",IFERROR(INDEX(tblProductos[COSTO TOTAL],MATCH(D147,tblProductos[ITEM],0)),""))</f>
        <v/>
      </c>
      <c r="H147" s="16" t="str">
        <f t="shared" si="5"/>
        <v/>
      </c>
      <c r="I147" s="14" t="s">
        <v>42</v>
      </c>
      <c r="J147" s="14" t="s">
        <v>43</v>
      </c>
      <c r="K147" s="14"/>
    </row>
    <row r="148" spans="1:11" x14ac:dyDescent="0.3">
      <c r="A148" s="13"/>
      <c r="B148" s="14" t="str">
        <f t="shared" si="4"/>
        <v/>
      </c>
      <c r="C148" s="14"/>
      <c r="D148" s="14"/>
      <c r="E148" s="14" t="str">
        <f>IF(D148="","",IFERROR(INDEX(tblProductos[CATEGORIA],MATCH(D148,tblProductos[ITEM],0)),""))</f>
        <v/>
      </c>
      <c r="F148" s="15"/>
      <c r="G148" s="16" t="str">
        <f>IF(D148="","",IFERROR(INDEX(tblProductos[COSTO TOTAL],MATCH(D148,tblProductos[ITEM],0)),""))</f>
        <v/>
      </c>
      <c r="H148" s="16" t="str">
        <f t="shared" si="5"/>
        <v/>
      </c>
      <c r="I148" s="14" t="s">
        <v>42</v>
      </c>
      <c r="J148" s="14" t="s">
        <v>43</v>
      </c>
      <c r="K148" s="14"/>
    </row>
    <row r="149" spans="1:11" x14ac:dyDescent="0.3">
      <c r="A149" s="13"/>
      <c r="B149" s="14" t="str">
        <f t="shared" si="4"/>
        <v/>
      </c>
      <c r="C149" s="14"/>
      <c r="D149" s="14"/>
      <c r="E149" s="14" t="str">
        <f>IF(D149="","",IFERROR(INDEX(tblProductos[CATEGORIA],MATCH(D149,tblProductos[ITEM],0)),""))</f>
        <v/>
      </c>
      <c r="F149" s="15"/>
      <c r="G149" s="16" t="str">
        <f>IF(D149="","",IFERROR(INDEX(tblProductos[COSTO TOTAL],MATCH(D149,tblProductos[ITEM],0)),""))</f>
        <v/>
      </c>
      <c r="H149" s="16" t="str">
        <f t="shared" si="5"/>
        <v/>
      </c>
      <c r="I149" s="14" t="s">
        <v>42</v>
      </c>
      <c r="J149" s="14" t="s">
        <v>43</v>
      </c>
      <c r="K149" s="14"/>
    </row>
    <row r="150" spans="1:11" x14ac:dyDescent="0.3">
      <c r="A150" s="13"/>
      <c r="B150" s="14" t="str">
        <f t="shared" si="4"/>
        <v/>
      </c>
      <c r="C150" s="14"/>
      <c r="D150" s="14"/>
      <c r="E150" s="14" t="str">
        <f>IF(D150="","",IFERROR(INDEX(tblProductos[CATEGORIA],MATCH(D150,tblProductos[ITEM],0)),""))</f>
        <v/>
      </c>
      <c r="F150" s="15"/>
      <c r="G150" s="16" t="str">
        <f>IF(D150="","",IFERROR(INDEX(tblProductos[COSTO TOTAL],MATCH(D150,tblProductos[ITEM],0)),""))</f>
        <v/>
      </c>
      <c r="H150" s="16" t="str">
        <f t="shared" si="5"/>
        <v/>
      </c>
      <c r="I150" s="14" t="s">
        <v>42</v>
      </c>
      <c r="J150" s="14" t="s">
        <v>43</v>
      </c>
      <c r="K150" s="14"/>
    </row>
    <row r="151" spans="1:11" x14ac:dyDescent="0.3">
      <c r="A151" s="13"/>
      <c r="B151" s="14" t="str">
        <f t="shared" si="4"/>
        <v/>
      </c>
      <c r="C151" s="14"/>
      <c r="D151" s="14"/>
      <c r="E151" s="14" t="str">
        <f>IF(D151="","",IFERROR(INDEX(tblProductos[CATEGORIA],MATCH(D151,tblProductos[ITEM],0)),""))</f>
        <v/>
      </c>
      <c r="F151" s="15"/>
      <c r="G151" s="16" t="str">
        <f>IF(D151="","",IFERROR(INDEX(tblProductos[COSTO TOTAL],MATCH(D151,tblProductos[ITEM],0)),""))</f>
        <v/>
      </c>
      <c r="H151" s="16" t="str">
        <f t="shared" si="5"/>
        <v/>
      </c>
      <c r="I151" s="14" t="s">
        <v>42</v>
      </c>
      <c r="J151" s="14" t="s">
        <v>43</v>
      </c>
      <c r="K151" s="14"/>
    </row>
    <row r="152" spans="1:11" x14ac:dyDescent="0.3">
      <c r="A152" s="13"/>
      <c r="B152" s="14" t="str">
        <f t="shared" si="4"/>
        <v/>
      </c>
      <c r="C152" s="14"/>
      <c r="D152" s="14"/>
      <c r="E152" s="14" t="str">
        <f>IF(D152="","",IFERROR(INDEX(tblProductos[CATEGORIA],MATCH(D152,tblProductos[ITEM],0)),""))</f>
        <v/>
      </c>
      <c r="F152" s="15"/>
      <c r="G152" s="16" t="str">
        <f>IF(D152="","",IFERROR(INDEX(tblProductos[COSTO TOTAL],MATCH(D152,tblProductos[ITEM],0)),""))</f>
        <v/>
      </c>
      <c r="H152" s="16" t="str">
        <f t="shared" si="5"/>
        <v/>
      </c>
      <c r="I152" s="14" t="s">
        <v>42</v>
      </c>
      <c r="J152" s="14" t="s">
        <v>43</v>
      </c>
      <c r="K152" s="14"/>
    </row>
    <row r="153" spans="1:11" x14ac:dyDescent="0.3">
      <c r="A153" s="13"/>
      <c r="B153" s="14" t="str">
        <f t="shared" si="4"/>
        <v/>
      </c>
      <c r="C153" s="14"/>
      <c r="D153" s="14"/>
      <c r="E153" s="14" t="str">
        <f>IF(D153="","",IFERROR(INDEX(tblProductos[CATEGORIA],MATCH(D153,tblProductos[ITEM],0)),""))</f>
        <v/>
      </c>
      <c r="F153" s="15"/>
      <c r="G153" s="16" t="str">
        <f>IF(D153="","",IFERROR(INDEX(tblProductos[COSTO TOTAL],MATCH(D153,tblProductos[ITEM],0)),""))</f>
        <v/>
      </c>
      <c r="H153" s="16" t="str">
        <f t="shared" si="5"/>
        <v/>
      </c>
      <c r="I153" s="14" t="s">
        <v>42</v>
      </c>
      <c r="J153" s="14" t="s">
        <v>43</v>
      </c>
      <c r="K153" s="14"/>
    </row>
    <row r="154" spans="1:11" x14ac:dyDescent="0.3">
      <c r="A154" s="13"/>
      <c r="B154" s="14" t="str">
        <f t="shared" si="4"/>
        <v/>
      </c>
      <c r="C154" s="14"/>
      <c r="D154" s="14"/>
      <c r="E154" s="14" t="str">
        <f>IF(D154="","",IFERROR(INDEX(tblProductos[CATEGORIA],MATCH(D154,tblProductos[ITEM],0)),""))</f>
        <v/>
      </c>
      <c r="F154" s="15"/>
      <c r="G154" s="16" t="str">
        <f>IF(D154="","",IFERROR(INDEX(tblProductos[COSTO TOTAL],MATCH(D154,tblProductos[ITEM],0)),""))</f>
        <v/>
      </c>
      <c r="H154" s="16" t="str">
        <f t="shared" si="5"/>
        <v/>
      </c>
      <c r="I154" s="14" t="s">
        <v>42</v>
      </c>
      <c r="J154" s="14" t="s">
        <v>43</v>
      </c>
      <c r="K154" s="14"/>
    </row>
    <row r="155" spans="1:11" x14ac:dyDescent="0.3">
      <c r="A155" s="13"/>
      <c r="B155" s="14" t="str">
        <f t="shared" si="4"/>
        <v/>
      </c>
      <c r="C155" s="14"/>
      <c r="D155" s="14"/>
      <c r="E155" s="14" t="str">
        <f>IF(D155="","",IFERROR(INDEX(tblProductos[CATEGORIA],MATCH(D155,tblProductos[ITEM],0)),""))</f>
        <v/>
      </c>
      <c r="F155" s="15"/>
      <c r="G155" s="16" t="str">
        <f>IF(D155="","",IFERROR(INDEX(tblProductos[COSTO TOTAL],MATCH(D155,tblProductos[ITEM],0)),""))</f>
        <v/>
      </c>
      <c r="H155" s="16" t="str">
        <f t="shared" si="5"/>
        <v/>
      </c>
      <c r="I155" s="14" t="s">
        <v>42</v>
      </c>
      <c r="J155" s="14" t="s">
        <v>43</v>
      </c>
      <c r="K155" s="14"/>
    </row>
    <row r="156" spans="1:11" x14ac:dyDescent="0.3">
      <c r="A156" s="13"/>
      <c r="B156" s="14" t="str">
        <f t="shared" si="4"/>
        <v/>
      </c>
      <c r="C156" s="14"/>
      <c r="D156" s="14"/>
      <c r="E156" s="14" t="str">
        <f>IF(D156="","",IFERROR(INDEX(tblProductos[CATEGORIA],MATCH(D156,tblProductos[ITEM],0)),""))</f>
        <v/>
      </c>
      <c r="F156" s="15"/>
      <c r="G156" s="16" t="str">
        <f>IF(D156="","",IFERROR(INDEX(tblProductos[COSTO TOTAL],MATCH(D156,tblProductos[ITEM],0)),""))</f>
        <v/>
      </c>
      <c r="H156" s="16" t="str">
        <f t="shared" si="5"/>
        <v/>
      </c>
      <c r="I156" s="14" t="s">
        <v>42</v>
      </c>
      <c r="J156" s="14" t="s">
        <v>43</v>
      </c>
      <c r="K156" s="14"/>
    </row>
    <row r="157" spans="1:11" x14ac:dyDescent="0.3">
      <c r="A157" s="13"/>
      <c r="B157" s="14" t="str">
        <f t="shared" si="4"/>
        <v/>
      </c>
      <c r="C157" s="14"/>
      <c r="D157" s="14"/>
      <c r="E157" s="14" t="str">
        <f>IF(D157="","",IFERROR(INDEX(tblProductos[CATEGORIA],MATCH(D157,tblProductos[ITEM],0)),""))</f>
        <v/>
      </c>
      <c r="F157" s="15"/>
      <c r="G157" s="16" t="str">
        <f>IF(D157="","",IFERROR(INDEX(tblProductos[COSTO TOTAL],MATCH(D157,tblProductos[ITEM],0)),""))</f>
        <v/>
      </c>
      <c r="H157" s="16" t="str">
        <f t="shared" si="5"/>
        <v/>
      </c>
      <c r="I157" s="14" t="s">
        <v>42</v>
      </c>
      <c r="J157" s="14" t="s">
        <v>43</v>
      </c>
      <c r="K157" s="14"/>
    </row>
    <row r="158" spans="1:11" x14ac:dyDescent="0.3">
      <c r="A158" s="13"/>
      <c r="B158" s="14" t="str">
        <f t="shared" si="4"/>
        <v/>
      </c>
      <c r="C158" s="14"/>
      <c r="D158" s="14"/>
      <c r="E158" s="14" t="str">
        <f>IF(D158="","",IFERROR(INDEX(tblProductos[CATEGORIA],MATCH(D158,tblProductos[ITEM],0)),""))</f>
        <v/>
      </c>
      <c r="F158" s="15"/>
      <c r="G158" s="16" t="str">
        <f>IF(D158="","",IFERROR(INDEX(tblProductos[COSTO TOTAL],MATCH(D158,tblProductos[ITEM],0)),""))</f>
        <v/>
      </c>
      <c r="H158" s="16" t="str">
        <f t="shared" si="5"/>
        <v/>
      </c>
      <c r="I158" s="14" t="s">
        <v>42</v>
      </c>
      <c r="J158" s="14" t="s">
        <v>43</v>
      </c>
      <c r="K158" s="14"/>
    </row>
    <row r="159" spans="1:11" x14ac:dyDescent="0.3">
      <c r="A159" s="13"/>
      <c r="B159" s="14" t="str">
        <f t="shared" si="4"/>
        <v/>
      </c>
      <c r="C159" s="14"/>
      <c r="D159" s="14"/>
      <c r="E159" s="14" t="str">
        <f>IF(D159="","",IFERROR(INDEX(tblProductos[CATEGORIA],MATCH(D159,tblProductos[ITEM],0)),""))</f>
        <v/>
      </c>
      <c r="F159" s="15"/>
      <c r="G159" s="16" t="str">
        <f>IF(D159="","",IFERROR(INDEX(tblProductos[COSTO TOTAL],MATCH(D159,tblProductos[ITEM],0)),""))</f>
        <v/>
      </c>
      <c r="H159" s="16" t="str">
        <f t="shared" si="5"/>
        <v/>
      </c>
      <c r="I159" s="14" t="s">
        <v>42</v>
      </c>
      <c r="J159" s="14" t="s">
        <v>43</v>
      </c>
      <c r="K159" s="14"/>
    </row>
    <row r="160" spans="1:11" x14ac:dyDescent="0.3">
      <c r="A160" s="13"/>
      <c r="B160" s="14" t="str">
        <f t="shared" si="4"/>
        <v/>
      </c>
      <c r="C160" s="14"/>
      <c r="D160" s="14"/>
      <c r="E160" s="14" t="str">
        <f>IF(D160="","",IFERROR(INDEX(tblProductos[CATEGORIA],MATCH(D160,tblProductos[ITEM],0)),""))</f>
        <v/>
      </c>
      <c r="F160" s="15"/>
      <c r="G160" s="16" t="str">
        <f>IF(D160="","",IFERROR(INDEX(tblProductos[COSTO TOTAL],MATCH(D160,tblProductos[ITEM],0)),""))</f>
        <v/>
      </c>
      <c r="H160" s="16" t="str">
        <f t="shared" si="5"/>
        <v/>
      </c>
      <c r="I160" s="14" t="s">
        <v>42</v>
      </c>
      <c r="J160" s="14" t="s">
        <v>43</v>
      </c>
      <c r="K160" s="14"/>
    </row>
    <row r="161" spans="1:11" x14ac:dyDescent="0.3">
      <c r="A161" s="13"/>
      <c r="B161" s="14" t="str">
        <f t="shared" si="4"/>
        <v/>
      </c>
      <c r="C161" s="14"/>
      <c r="D161" s="14"/>
      <c r="E161" s="14" t="str">
        <f>IF(D161="","",IFERROR(INDEX(tblProductos[CATEGORIA],MATCH(D161,tblProductos[ITEM],0)),""))</f>
        <v/>
      </c>
      <c r="F161" s="15"/>
      <c r="G161" s="16" t="str">
        <f>IF(D161="","",IFERROR(INDEX(tblProductos[COSTO TOTAL],MATCH(D161,tblProductos[ITEM],0)),""))</f>
        <v/>
      </c>
      <c r="H161" s="16" t="str">
        <f t="shared" si="5"/>
        <v/>
      </c>
      <c r="I161" s="14" t="s">
        <v>42</v>
      </c>
      <c r="J161" s="14" t="s">
        <v>43</v>
      </c>
      <c r="K161" s="14"/>
    </row>
    <row r="162" spans="1:11" x14ac:dyDescent="0.3">
      <c r="A162" s="13"/>
      <c r="B162" s="14" t="str">
        <f t="shared" si="4"/>
        <v/>
      </c>
      <c r="C162" s="14"/>
      <c r="D162" s="14"/>
      <c r="E162" s="14" t="str">
        <f>IF(D162="","",IFERROR(INDEX(tblProductos[CATEGORIA],MATCH(D162,tblProductos[ITEM],0)),""))</f>
        <v/>
      </c>
      <c r="F162" s="15"/>
      <c r="G162" s="16" t="str">
        <f>IF(D162="","",IFERROR(INDEX(tblProductos[COSTO TOTAL],MATCH(D162,tblProductos[ITEM],0)),""))</f>
        <v/>
      </c>
      <c r="H162" s="16" t="str">
        <f t="shared" si="5"/>
        <v/>
      </c>
      <c r="I162" s="14" t="s">
        <v>42</v>
      </c>
      <c r="J162" s="14" t="s">
        <v>43</v>
      </c>
      <c r="K162" s="14"/>
    </row>
    <row r="163" spans="1:11" x14ac:dyDescent="0.3">
      <c r="A163" s="13"/>
      <c r="B163" s="14" t="str">
        <f t="shared" si="4"/>
        <v/>
      </c>
      <c r="C163" s="14"/>
      <c r="D163" s="14"/>
      <c r="E163" s="14" t="str">
        <f>IF(D163="","",IFERROR(INDEX(tblProductos[CATEGORIA],MATCH(D163,tblProductos[ITEM],0)),""))</f>
        <v/>
      </c>
      <c r="F163" s="15"/>
      <c r="G163" s="16" t="str">
        <f>IF(D163="","",IFERROR(INDEX(tblProductos[COSTO TOTAL],MATCH(D163,tblProductos[ITEM],0)),""))</f>
        <v/>
      </c>
      <c r="H163" s="16" t="str">
        <f t="shared" si="5"/>
        <v/>
      </c>
      <c r="I163" s="14" t="s">
        <v>42</v>
      </c>
      <c r="J163" s="14" t="s">
        <v>43</v>
      </c>
      <c r="K163" s="14"/>
    </row>
    <row r="164" spans="1:11" x14ac:dyDescent="0.3">
      <c r="A164" s="13"/>
      <c r="B164" s="14" t="str">
        <f t="shared" si="4"/>
        <v/>
      </c>
      <c r="C164" s="14"/>
      <c r="D164" s="14"/>
      <c r="E164" s="14" t="str">
        <f>IF(D164="","",IFERROR(INDEX(tblProductos[CATEGORIA],MATCH(D164,tblProductos[ITEM],0)),""))</f>
        <v/>
      </c>
      <c r="F164" s="15"/>
      <c r="G164" s="16" t="str">
        <f>IF(D164="","",IFERROR(INDEX(tblProductos[COSTO TOTAL],MATCH(D164,tblProductos[ITEM],0)),""))</f>
        <v/>
      </c>
      <c r="H164" s="16" t="str">
        <f t="shared" si="5"/>
        <v/>
      </c>
      <c r="I164" s="14" t="s">
        <v>42</v>
      </c>
      <c r="J164" s="14" t="s">
        <v>43</v>
      </c>
      <c r="K164" s="14"/>
    </row>
    <row r="165" spans="1:11" x14ac:dyDescent="0.3">
      <c r="A165" s="13"/>
      <c r="B165" s="14" t="str">
        <f t="shared" si="4"/>
        <v/>
      </c>
      <c r="C165" s="14"/>
      <c r="D165" s="14"/>
      <c r="E165" s="14" t="str">
        <f>IF(D165="","",IFERROR(INDEX(tblProductos[CATEGORIA],MATCH(D165,tblProductos[ITEM],0)),""))</f>
        <v/>
      </c>
      <c r="F165" s="15"/>
      <c r="G165" s="16" t="str">
        <f>IF(D165="","",IFERROR(INDEX(tblProductos[COSTO TOTAL],MATCH(D165,tblProductos[ITEM],0)),""))</f>
        <v/>
      </c>
      <c r="H165" s="16" t="str">
        <f t="shared" si="5"/>
        <v/>
      </c>
      <c r="I165" s="14" t="s">
        <v>42</v>
      </c>
      <c r="J165" s="14" t="s">
        <v>43</v>
      </c>
      <c r="K165" s="14"/>
    </row>
    <row r="166" spans="1:11" x14ac:dyDescent="0.3">
      <c r="A166" s="13"/>
      <c r="B166" s="14" t="str">
        <f t="shared" si="4"/>
        <v/>
      </c>
      <c r="C166" s="14"/>
      <c r="D166" s="14"/>
      <c r="E166" s="14" t="str">
        <f>IF(D166="","",IFERROR(INDEX(tblProductos[CATEGORIA],MATCH(D166,tblProductos[ITEM],0)),""))</f>
        <v/>
      </c>
      <c r="F166" s="15"/>
      <c r="G166" s="16" t="str">
        <f>IF(D166="","",IFERROR(INDEX(tblProductos[COSTO TOTAL],MATCH(D166,tblProductos[ITEM],0)),""))</f>
        <v/>
      </c>
      <c r="H166" s="16" t="str">
        <f t="shared" si="5"/>
        <v/>
      </c>
      <c r="I166" s="14" t="s">
        <v>42</v>
      </c>
      <c r="J166" s="14" t="s">
        <v>43</v>
      </c>
      <c r="K166" s="14"/>
    </row>
    <row r="167" spans="1:11" x14ac:dyDescent="0.3">
      <c r="A167" s="13"/>
      <c r="B167" s="14" t="str">
        <f t="shared" si="4"/>
        <v/>
      </c>
      <c r="C167" s="14"/>
      <c r="D167" s="14"/>
      <c r="E167" s="14" t="str">
        <f>IF(D167="","",IFERROR(INDEX(tblProductos[CATEGORIA],MATCH(D167,tblProductos[ITEM],0)),""))</f>
        <v/>
      </c>
      <c r="F167" s="15"/>
      <c r="G167" s="16" t="str">
        <f>IF(D167="","",IFERROR(INDEX(tblProductos[COSTO TOTAL],MATCH(D167,tblProductos[ITEM],0)),""))</f>
        <v/>
      </c>
      <c r="H167" s="16" t="str">
        <f t="shared" si="5"/>
        <v/>
      </c>
      <c r="I167" s="14" t="s">
        <v>42</v>
      </c>
      <c r="J167" s="14" t="s">
        <v>43</v>
      </c>
      <c r="K167" s="14"/>
    </row>
    <row r="168" spans="1:11" x14ac:dyDescent="0.3">
      <c r="A168" s="13"/>
      <c r="B168" s="14" t="str">
        <f t="shared" si="4"/>
        <v/>
      </c>
      <c r="C168" s="14"/>
      <c r="D168" s="14"/>
      <c r="E168" s="14" t="str">
        <f>IF(D168="","",IFERROR(INDEX(tblProductos[CATEGORIA],MATCH(D168,tblProductos[ITEM],0)),""))</f>
        <v/>
      </c>
      <c r="F168" s="15"/>
      <c r="G168" s="16" t="str">
        <f>IF(D168="","",IFERROR(INDEX(tblProductos[COSTO TOTAL],MATCH(D168,tblProductos[ITEM],0)),""))</f>
        <v/>
      </c>
      <c r="H168" s="16" t="str">
        <f t="shared" si="5"/>
        <v/>
      </c>
      <c r="I168" s="14" t="s">
        <v>42</v>
      </c>
      <c r="J168" s="14" t="s">
        <v>43</v>
      </c>
      <c r="K168" s="14"/>
    </row>
    <row r="169" spans="1:11" x14ac:dyDescent="0.3">
      <c r="A169" s="13"/>
      <c r="B169" s="14" t="str">
        <f t="shared" si="4"/>
        <v/>
      </c>
      <c r="C169" s="14"/>
      <c r="D169" s="14"/>
      <c r="E169" s="14" t="str">
        <f>IF(D169="","",IFERROR(INDEX(tblProductos[CATEGORIA],MATCH(D169,tblProductos[ITEM],0)),""))</f>
        <v/>
      </c>
      <c r="F169" s="15"/>
      <c r="G169" s="16" t="str">
        <f>IF(D169="","",IFERROR(INDEX(tblProductos[COSTO TOTAL],MATCH(D169,tblProductos[ITEM],0)),""))</f>
        <v/>
      </c>
      <c r="H169" s="16" t="str">
        <f t="shared" si="5"/>
        <v/>
      </c>
      <c r="I169" s="14" t="s">
        <v>42</v>
      </c>
      <c r="J169" s="14" t="s">
        <v>43</v>
      </c>
      <c r="K169" s="14"/>
    </row>
    <row r="170" spans="1:11" x14ac:dyDescent="0.3">
      <c r="A170" s="13"/>
      <c r="B170" s="14" t="str">
        <f t="shared" si="4"/>
        <v/>
      </c>
      <c r="C170" s="14"/>
      <c r="D170" s="14"/>
      <c r="E170" s="14" t="str">
        <f>IF(D170="","",IFERROR(INDEX(tblProductos[CATEGORIA],MATCH(D170,tblProductos[ITEM],0)),""))</f>
        <v/>
      </c>
      <c r="F170" s="15"/>
      <c r="G170" s="16" t="str">
        <f>IF(D170="","",IFERROR(INDEX(tblProductos[COSTO TOTAL],MATCH(D170,tblProductos[ITEM],0)),""))</f>
        <v/>
      </c>
      <c r="H170" s="16" t="str">
        <f t="shared" si="5"/>
        <v/>
      </c>
      <c r="I170" s="14" t="s">
        <v>42</v>
      </c>
      <c r="J170" s="14" t="s">
        <v>43</v>
      </c>
      <c r="K170" s="14"/>
    </row>
    <row r="171" spans="1:11" x14ac:dyDescent="0.3">
      <c r="A171" s="13"/>
      <c r="B171" s="14" t="str">
        <f t="shared" si="4"/>
        <v/>
      </c>
      <c r="C171" s="14"/>
      <c r="D171" s="14"/>
      <c r="E171" s="14" t="str">
        <f>IF(D171="","",IFERROR(INDEX(tblProductos[CATEGORIA],MATCH(D171,tblProductos[ITEM],0)),""))</f>
        <v/>
      </c>
      <c r="F171" s="15"/>
      <c r="G171" s="16" t="str">
        <f>IF(D171="","",IFERROR(INDEX(tblProductos[COSTO TOTAL],MATCH(D171,tblProductos[ITEM],0)),""))</f>
        <v/>
      </c>
      <c r="H171" s="16" t="str">
        <f t="shared" si="5"/>
        <v/>
      </c>
      <c r="I171" s="14" t="s">
        <v>42</v>
      </c>
      <c r="J171" s="14" t="s">
        <v>43</v>
      </c>
      <c r="K171" s="14"/>
    </row>
    <row r="172" spans="1:11" x14ac:dyDescent="0.3">
      <c r="A172" s="13"/>
      <c r="B172" s="14" t="str">
        <f t="shared" si="4"/>
        <v/>
      </c>
      <c r="C172" s="14"/>
      <c r="D172" s="14"/>
      <c r="E172" s="14" t="str">
        <f>IF(D172="","",IFERROR(INDEX(tblProductos[CATEGORIA],MATCH(D172,tblProductos[ITEM],0)),""))</f>
        <v/>
      </c>
      <c r="F172" s="15"/>
      <c r="G172" s="16" t="str">
        <f>IF(D172="","",IFERROR(INDEX(tblProductos[COSTO TOTAL],MATCH(D172,tblProductos[ITEM],0)),""))</f>
        <v/>
      </c>
      <c r="H172" s="16" t="str">
        <f t="shared" si="5"/>
        <v/>
      </c>
      <c r="I172" s="14" t="s">
        <v>42</v>
      </c>
      <c r="J172" s="14" t="s">
        <v>43</v>
      </c>
      <c r="K172" s="14"/>
    </row>
    <row r="173" spans="1:11" x14ac:dyDescent="0.3">
      <c r="A173" s="13"/>
      <c r="B173" s="14" t="str">
        <f t="shared" si="4"/>
        <v/>
      </c>
      <c r="C173" s="14"/>
      <c r="D173" s="14"/>
      <c r="E173" s="14" t="str">
        <f>IF(D173="","",IFERROR(INDEX(tblProductos[CATEGORIA],MATCH(D173,tblProductos[ITEM],0)),""))</f>
        <v/>
      </c>
      <c r="F173" s="15"/>
      <c r="G173" s="16" t="str">
        <f>IF(D173="","",IFERROR(INDEX(tblProductos[COSTO TOTAL],MATCH(D173,tblProductos[ITEM],0)),""))</f>
        <v/>
      </c>
      <c r="H173" s="16" t="str">
        <f t="shared" si="5"/>
        <v/>
      </c>
      <c r="I173" s="14" t="s">
        <v>42</v>
      </c>
      <c r="J173" s="14" t="s">
        <v>43</v>
      </c>
      <c r="K173" s="14"/>
    </row>
    <row r="174" spans="1:11" x14ac:dyDescent="0.3">
      <c r="A174" s="13"/>
      <c r="B174" s="14" t="str">
        <f t="shared" si="4"/>
        <v/>
      </c>
      <c r="C174" s="14"/>
      <c r="D174" s="14"/>
      <c r="E174" s="14" t="str">
        <f>IF(D174="","",IFERROR(INDEX(tblProductos[CATEGORIA],MATCH(D174,tblProductos[ITEM],0)),""))</f>
        <v/>
      </c>
      <c r="F174" s="15"/>
      <c r="G174" s="16" t="str">
        <f>IF(D174="","",IFERROR(INDEX(tblProductos[COSTO TOTAL],MATCH(D174,tblProductos[ITEM],0)),""))</f>
        <v/>
      </c>
      <c r="H174" s="16" t="str">
        <f t="shared" si="5"/>
        <v/>
      </c>
      <c r="I174" s="14" t="s">
        <v>42</v>
      </c>
      <c r="J174" s="14" t="s">
        <v>43</v>
      </c>
      <c r="K174" s="14"/>
    </row>
    <row r="175" spans="1:11" x14ac:dyDescent="0.3">
      <c r="A175" s="13"/>
      <c r="B175" s="14" t="str">
        <f t="shared" si="4"/>
        <v/>
      </c>
      <c r="C175" s="14"/>
      <c r="D175" s="14"/>
      <c r="E175" s="14" t="str">
        <f>IF(D175="","",IFERROR(INDEX(tblProductos[CATEGORIA],MATCH(D175,tblProductos[ITEM],0)),""))</f>
        <v/>
      </c>
      <c r="F175" s="15"/>
      <c r="G175" s="16" t="str">
        <f>IF(D175="","",IFERROR(INDEX(tblProductos[COSTO TOTAL],MATCH(D175,tblProductos[ITEM],0)),""))</f>
        <v/>
      </c>
      <c r="H175" s="16" t="str">
        <f t="shared" si="5"/>
        <v/>
      </c>
      <c r="I175" s="14" t="s">
        <v>42</v>
      </c>
      <c r="J175" s="14" t="s">
        <v>43</v>
      </c>
      <c r="K175" s="14"/>
    </row>
    <row r="176" spans="1:11" x14ac:dyDescent="0.3">
      <c r="A176" s="13"/>
      <c r="B176" s="14" t="str">
        <f t="shared" si="4"/>
        <v/>
      </c>
      <c r="C176" s="14"/>
      <c r="D176" s="14"/>
      <c r="E176" s="14" t="str">
        <f>IF(D176="","",IFERROR(INDEX(tblProductos[CATEGORIA],MATCH(D176,tblProductos[ITEM],0)),""))</f>
        <v/>
      </c>
      <c r="F176" s="15"/>
      <c r="G176" s="16" t="str">
        <f>IF(D176="","",IFERROR(INDEX(tblProductos[COSTO TOTAL],MATCH(D176,tblProductos[ITEM],0)),""))</f>
        <v/>
      </c>
      <c r="H176" s="16" t="str">
        <f t="shared" si="5"/>
        <v/>
      </c>
      <c r="I176" s="14" t="s">
        <v>42</v>
      </c>
      <c r="J176" s="14" t="s">
        <v>43</v>
      </c>
      <c r="K176" s="14"/>
    </row>
    <row r="177" spans="1:11" x14ac:dyDescent="0.3">
      <c r="A177" s="13"/>
      <c r="B177" s="14" t="str">
        <f t="shared" si="4"/>
        <v/>
      </c>
      <c r="C177" s="14"/>
      <c r="D177" s="14"/>
      <c r="E177" s="14" t="str">
        <f>IF(D177="","",IFERROR(INDEX(tblProductos[CATEGORIA],MATCH(D177,tblProductos[ITEM],0)),""))</f>
        <v/>
      </c>
      <c r="F177" s="15"/>
      <c r="G177" s="16" t="str">
        <f>IF(D177="","",IFERROR(INDEX(tblProductos[COSTO TOTAL],MATCH(D177,tblProductos[ITEM],0)),""))</f>
        <v/>
      </c>
      <c r="H177" s="16" t="str">
        <f t="shared" si="5"/>
        <v/>
      </c>
      <c r="I177" s="14" t="s">
        <v>42</v>
      </c>
      <c r="J177" s="14" t="s">
        <v>43</v>
      </c>
      <c r="K177" s="14"/>
    </row>
    <row r="178" spans="1:11" x14ac:dyDescent="0.3">
      <c r="A178" s="13"/>
      <c r="B178" s="14" t="str">
        <f t="shared" si="4"/>
        <v/>
      </c>
      <c r="C178" s="14"/>
      <c r="D178" s="14"/>
      <c r="E178" s="14" t="str">
        <f>IF(D178="","",IFERROR(INDEX(tblProductos[CATEGORIA],MATCH(D178,tblProductos[ITEM],0)),""))</f>
        <v/>
      </c>
      <c r="F178" s="15"/>
      <c r="G178" s="16" t="str">
        <f>IF(D178="","",IFERROR(INDEX(tblProductos[COSTO TOTAL],MATCH(D178,tblProductos[ITEM],0)),""))</f>
        <v/>
      </c>
      <c r="H178" s="16" t="str">
        <f t="shared" si="5"/>
        <v/>
      </c>
      <c r="I178" s="14" t="s">
        <v>42</v>
      </c>
      <c r="J178" s="14" t="s">
        <v>43</v>
      </c>
      <c r="K178" s="14"/>
    </row>
    <row r="179" spans="1:11" x14ac:dyDescent="0.3">
      <c r="A179" s="13"/>
      <c r="B179" s="14" t="str">
        <f t="shared" si="4"/>
        <v/>
      </c>
      <c r="C179" s="14"/>
      <c r="D179" s="14"/>
      <c r="E179" s="14" t="str">
        <f>IF(D179="","",IFERROR(INDEX(tblProductos[CATEGORIA],MATCH(D179,tblProductos[ITEM],0)),""))</f>
        <v/>
      </c>
      <c r="F179" s="15"/>
      <c r="G179" s="16" t="str">
        <f>IF(D179="","",IFERROR(INDEX(tblProductos[COSTO TOTAL],MATCH(D179,tblProductos[ITEM],0)),""))</f>
        <v/>
      </c>
      <c r="H179" s="16" t="str">
        <f t="shared" si="5"/>
        <v/>
      </c>
      <c r="I179" s="14" t="s">
        <v>42</v>
      </c>
      <c r="J179" s="14" t="s">
        <v>43</v>
      </c>
      <c r="K179" s="14"/>
    </row>
    <row r="180" spans="1:11" x14ac:dyDescent="0.3">
      <c r="A180" s="13"/>
      <c r="B180" s="14" t="str">
        <f t="shared" si="4"/>
        <v/>
      </c>
      <c r="C180" s="14"/>
      <c r="D180" s="14"/>
      <c r="E180" s="14" t="str">
        <f>IF(D180="","",IFERROR(INDEX(tblProductos[CATEGORIA],MATCH(D180,tblProductos[ITEM],0)),""))</f>
        <v/>
      </c>
      <c r="F180" s="15"/>
      <c r="G180" s="16" t="str">
        <f>IF(D180="","",IFERROR(INDEX(tblProductos[COSTO TOTAL],MATCH(D180,tblProductos[ITEM],0)),""))</f>
        <v/>
      </c>
      <c r="H180" s="16" t="str">
        <f t="shared" si="5"/>
        <v/>
      </c>
      <c r="I180" s="14" t="s">
        <v>42</v>
      </c>
      <c r="J180" s="14" t="s">
        <v>43</v>
      </c>
      <c r="K180" s="14"/>
    </row>
    <row r="181" spans="1:11" x14ac:dyDescent="0.3">
      <c r="A181" s="13"/>
      <c r="B181" s="14" t="str">
        <f t="shared" si="4"/>
        <v/>
      </c>
      <c r="C181" s="14"/>
      <c r="D181" s="14"/>
      <c r="E181" s="14" t="str">
        <f>IF(D181="","",IFERROR(INDEX(tblProductos[CATEGORIA],MATCH(D181,tblProductos[ITEM],0)),""))</f>
        <v/>
      </c>
      <c r="F181" s="15"/>
      <c r="G181" s="16" t="str">
        <f>IF(D181="","",IFERROR(INDEX(tblProductos[COSTO TOTAL],MATCH(D181,tblProductos[ITEM],0)),""))</f>
        <v/>
      </c>
      <c r="H181" s="16" t="str">
        <f t="shared" si="5"/>
        <v/>
      </c>
      <c r="I181" s="14" t="s">
        <v>42</v>
      </c>
      <c r="J181" s="14" t="s">
        <v>43</v>
      </c>
      <c r="K181" s="14"/>
    </row>
    <row r="182" spans="1:11" x14ac:dyDescent="0.3">
      <c r="A182" s="13"/>
      <c r="B182" s="14" t="str">
        <f t="shared" si="4"/>
        <v/>
      </c>
      <c r="C182" s="14"/>
      <c r="D182" s="14"/>
      <c r="E182" s="14" t="str">
        <f>IF(D182="","",IFERROR(INDEX(tblProductos[CATEGORIA],MATCH(D182,tblProductos[ITEM],0)),""))</f>
        <v/>
      </c>
      <c r="F182" s="15"/>
      <c r="G182" s="16" t="str">
        <f>IF(D182="","",IFERROR(INDEX(tblProductos[COSTO TOTAL],MATCH(D182,tblProductos[ITEM],0)),""))</f>
        <v/>
      </c>
      <c r="H182" s="16" t="str">
        <f t="shared" si="5"/>
        <v/>
      </c>
      <c r="I182" s="14" t="s">
        <v>42</v>
      </c>
      <c r="J182" s="14" t="s">
        <v>43</v>
      </c>
      <c r="K182" s="14"/>
    </row>
    <row r="183" spans="1:11" x14ac:dyDescent="0.3">
      <c r="A183" s="13"/>
      <c r="B183" s="14" t="str">
        <f t="shared" si="4"/>
        <v/>
      </c>
      <c r="C183" s="14"/>
      <c r="D183" s="14"/>
      <c r="E183" s="14" t="str">
        <f>IF(D183="","",IFERROR(INDEX(tblProductos[CATEGORIA],MATCH(D183,tblProductos[ITEM],0)),""))</f>
        <v/>
      </c>
      <c r="F183" s="15"/>
      <c r="G183" s="16" t="str">
        <f>IF(D183="","",IFERROR(INDEX(tblProductos[COSTO TOTAL],MATCH(D183,tblProductos[ITEM],0)),""))</f>
        <v/>
      </c>
      <c r="H183" s="16" t="str">
        <f t="shared" si="5"/>
        <v/>
      </c>
      <c r="I183" s="14" t="s">
        <v>42</v>
      </c>
      <c r="J183" s="14" t="s">
        <v>43</v>
      </c>
      <c r="K183" s="14"/>
    </row>
    <row r="184" spans="1:11" x14ac:dyDescent="0.3">
      <c r="A184" s="13"/>
      <c r="B184" s="14" t="str">
        <f t="shared" si="4"/>
        <v/>
      </c>
      <c r="C184" s="14"/>
      <c r="D184" s="14"/>
      <c r="E184" s="14" t="str">
        <f>IF(D184="","",IFERROR(INDEX(tblProductos[CATEGORIA],MATCH(D184,tblProductos[ITEM],0)),""))</f>
        <v/>
      </c>
      <c r="F184" s="15"/>
      <c r="G184" s="16" t="str">
        <f>IF(D184="","",IFERROR(INDEX(tblProductos[COSTO TOTAL],MATCH(D184,tblProductos[ITEM],0)),""))</f>
        <v/>
      </c>
      <c r="H184" s="16" t="str">
        <f t="shared" si="5"/>
        <v/>
      </c>
      <c r="I184" s="14" t="s">
        <v>42</v>
      </c>
      <c r="J184" s="14" t="s">
        <v>43</v>
      </c>
      <c r="K184" s="14"/>
    </row>
    <row r="185" spans="1:11" x14ac:dyDescent="0.3">
      <c r="A185" s="13"/>
      <c r="B185" s="14" t="str">
        <f t="shared" si="4"/>
        <v/>
      </c>
      <c r="C185" s="14"/>
      <c r="D185" s="14"/>
      <c r="E185" s="14" t="str">
        <f>IF(D185="","",IFERROR(INDEX(tblProductos[CATEGORIA],MATCH(D185,tblProductos[ITEM],0)),""))</f>
        <v/>
      </c>
      <c r="F185" s="15"/>
      <c r="G185" s="16" t="str">
        <f>IF(D185="","",IFERROR(INDEX(tblProductos[COSTO TOTAL],MATCH(D185,tblProductos[ITEM],0)),""))</f>
        <v/>
      </c>
      <c r="H185" s="16" t="str">
        <f t="shared" si="5"/>
        <v/>
      </c>
      <c r="I185" s="14" t="s">
        <v>42</v>
      </c>
      <c r="J185" s="14" t="s">
        <v>43</v>
      </c>
      <c r="K185" s="14"/>
    </row>
    <row r="186" spans="1:11" x14ac:dyDescent="0.3">
      <c r="A186" s="13"/>
      <c r="B186" s="14" t="str">
        <f t="shared" si="4"/>
        <v/>
      </c>
      <c r="C186" s="14"/>
      <c r="D186" s="14"/>
      <c r="E186" s="14" t="str">
        <f>IF(D186="","",IFERROR(INDEX(tblProductos[CATEGORIA],MATCH(D186,tblProductos[ITEM],0)),""))</f>
        <v/>
      </c>
      <c r="F186" s="15"/>
      <c r="G186" s="16" t="str">
        <f>IF(D186="","",IFERROR(INDEX(tblProductos[COSTO TOTAL],MATCH(D186,tblProductos[ITEM],0)),""))</f>
        <v/>
      </c>
      <c r="H186" s="16" t="str">
        <f t="shared" si="5"/>
        <v/>
      </c>
      <c r="I186" s="14" t="s">
        <v>42</v>
      </c>
      <c r="J186" s="14" t="s">
        <v>43</v>
      </c>
      <c r="K186" s="14"/>
    </row>
    <row r="187" spans="1:11" x14ac:dyDescent="0.3">
      <c r="A187" s="13"/>
      <c r="B187" s="14" t="str">
        <f t="shared" si="4"/>
        <v/>
      </c>
      <c r="C187" s="14"/>
      <c r="D187" s="14"/>
      <c r="E187" s="14" t="str">
        <f>IF(D187="","",IFERROR(INDEX(tblProductos[CATEGORIA],MATCH(D187,tblProductos[ITEM],0)),""))</f>
        <v/>
      </c>
      <c r="F187" s="15"/>
      <c r="G187" s="16" t="str">
        <f>IF(D187="","",IFERROR(INDEX(tblProductos[COSTO TOTAL],MATCH(D187,tblProductos[ITEM],0)),""))</f>
        <v/>
      </c>
      <c r="H187" s="16" t="str">
        <f t="shared" si="5"/>
        <v/>
      </c>
      <c r="I187" s="14" t="s">
        <v>42</v>
      </c>
      <c r="J187" s="14" t="s">
        <v>43</v>
      </c>
      <c r="K187" s="14"/>
    </row>
    <row r="188" spans="1:11" x14ac:dyDescent="0.3">
      <c r="A188" s="13"/>
      <c r="B188" s="14" t="str">
        <f t="shared" si="4"/>
        <v/>
      </c>
      <c r="C188" s="14"/>
      <c r="D188" s="14"/>
      <c r="E188" s="14" t="str">
        <f>IF(D188="","",IFERROR(INDEX(tblProductos[CATEGORIA],MATCH(D188,tblProductos[ITEM],0)),""))</f>
        <v/>
      </c>
      <c r="F188" s="15"/>
      <c r="G188" s="16" t="str">
        <f>IF(D188="","",IFERROR(INDEX(tblProductos[COSTO TOTAL],MATCH(D188,tblProductos[ITEM],0)),""))</f>
        <v/>
      </c>
      <c r="H188" s="16" t="str">
        <f t="shared" si="5"/>
        <v/>
      </c>
      <c r="I188" s="14" t="s">
        <v>42</v>
      </c>
      <c r="J188" s="14" t="s">
        <v>43</v>
      </c>
      <c r="K188" s="14"/>
    </row>
    <row r="189" spans="1:11" x14ac:dyDescent="0.3">
      <c r="A189" s="13"/>
      <c r="B189" s="14" t="str">
        <f t="shared" si="4"/>
        <v/>
      </c>
      <c r="C189" s="14"/>
      <c r="D189" s="14"/>
      <c r="E189" s="14" t="str">
        <f>IF(D189="","",IFERROR(INDEX(tblProductos[CATEGORIA],MATCH(D189,tblProductos[ITEM],0)),""))</f>
        <v/>
      </c>
      <c r="F189" s="15"/>
      <c r="G189" s="16" t="str">
        <f>IF(D189="","",IFERROR(INDEX(tblProductos[COSTO TOTAL],MATCH(D189,tblProductos[ITEM],0)),""))</f>
        <v/>
      </c>
      <c r="H189" s="16" t="str">
        <f t="shared" si="5"/>
        <v/>
      </c>
      <c r="I189" s="14" t="s">
        <v>42</v>
      </c>
      <c r="J189" s="14" t="s">
        <v>43</v>
      </c>
      <c r="K189" s="14"/>
    </row>
    <row r="190" spans="1:11" x14ac:dyDescent="0.3">
      <c r="A190" s="13"/>
      <c r="B190" s="14" t="str">
        <f t="shared" si="4"/>
        <v/>
      </c>
      <c r="C190" s="14"/>
      <c r="D190" s="14"/>
      <c r="E190" s="14" t="str">
        <f>IF(D190="","",IFERROR(INDEX(tblProductos[CATEGORIA],MATCH(D190,tblProductos[ITEM],0)),""))</f>
        <v/>
      </c>
      <c r="F190" s="15"/>
      <c r="G190" s="16" t="str">
        <f>IF(D190="","",IFERROR(INDEX(tblProductos[COSTO TOTAL],MATCH(D190,tblProductos[ITEM],0)),""))</f>
        <v/>
      </c>
      <c r="H190" s="16" t="str">
        <f t="shared" si="5"/>
        <v/>
      </c>
      <c r="I190" s="14" t="s">
        <v>42</v>
      </c>
      <c r="J190" s="14" t="s">
        <v>43</v>
      </c>
      <c r="K190" s="14"/>
    </row>
    <row r="191" spans="1:11" x14ac:dyDescent="0.3">
      <c r="A191" s="13"/>
      <c r="B191" s="14" t="str">
        <f t="shared" si="4"/>
        <v/>
      </c>
      <c r="C191" s="14"/>
      <c r="D191" s="14"/>
      <c r="E191" s="14" t="str">
        <f>IF(D191="","",IFERROR(INDEX(tblProductos[CATEGORIA],MATCH(D191,tblProductos[ITEM],0)),""))</f>
        <v/>
      </c>
      <c r="F191" s="15"/>
      <c r="G191" s="16" t="str">
        <f>IF(D191="","",IFERROR(INDEX(tblProductos[COSTO TOTAL],MATCH(D191,tblProductos[ITEM],0)),""))</f>
        <v/>
      </c>
      <c r="H191" s="16" t="str">
        <f t="shared" si="5"/>
        <v/>
      </c>
      <c r="I191" s="14" t="s">
        <v>42</v>
      </c>
      <c r="J191" s="14" t="s">
        <v>43</v>
      </c>
      <c r="K191" s="14"/>
    </row>
    <row r="192" spans="1:11" x14ac:dyDescent="0.3">
      <c r="A192" s="13"/>
      <c r="B192" s="14" t="str">
        <f t="shared" si="4"/>
        <v/>
      </c>
      <c r="C192" s="14"/>
      <c r="D192" s="14"/>
      <c r="E192" s="14" t="str">
        <f>IF(D192="","",IFERROR(INDEX(tblProductos[CATEGORIA],MATCH(D192,tblProductos[ITEM],0)),""))</f>
        <v/>
      </c>
      <c r="F192" s="15"/>
      <c r="G192" s="16" t="str">
        <f>IF(D192="","",IFERROR(INDEX(tblProductos[COSTO TOTAL],MATCH(D192,tblProductos[ITEM],0)),""))</f>
        <v/>
      </c>
      <c r="H192" s="16" t="str">
        <f t="shared" si="5"/>
        <v/>
      </c>
      <c r="I192" s="14" t="s">
        <v>42</v>
      </c>
      <c r="J192" s="14" t="s">
        <v>43</v>
      </c>
      <c r="K192" s="14"/>
    </row>
    <row r="193" spans="1:11" x14ac:dyDescent="0.3">
      <c r="A193" s="13"/>
      <c r="B193" s="14" t="str">
        <f t="shared" si="4"/>
        <v/>
      </c>
      <c r="C193" s="14"/>
      <c r="D193" s="14"/>
      <c r="E193" s="14" t="str">
        <f>IF(D193="","",IFERROR(INDEX(tblProductos[CATEGORIA],MATCH(D193,tblProductos[ITEM],0)),""))</f>
        <v/>
      </c>
      <c r="F193" s="15"/>
      <c r="G193" s="16" t="str">
        <f>IF(D193="","",IFERROR(INDEX(tblProductos[COSTO TOTAL],MATCH(D193,tblProductos[ITEM],0)),""))</f>
        <v/>
      </c>
      <c r="H193" s="16" t="str">
        <f t="shared" si="5"/>
        <v/>
      </c>
      <c r="I193" s="14" t="s">
        <v>42</v>
      </c>
      <c r="J193" s="14" t="s">
        <v>43</v>
      </c>
      <c r="K193" s="14"/>
    </row>
    <row r="194" spans="1:11" x14ac:dyDescent="0.3">
      <c r="A194" s="13"/>
      <c r="B194" s="14" t="str">
        <f t="shared" ref="B194:B257" si="6">IF(A194="","", "C"&amp;TEXT(A194,"yymmdd")&amp;"-"&amp;TEXT(ROW()-1,"0000"))</f>
        <v/>
      </c>
      <c r="C194" s="14"/>
      <c r="D194" s="14"/>
      <c r="E194" s="14" t="str">
        <f>IF(D194="","",IFERROR(INDEX(tblProductos[CATEGORIA],MATCH(D194,tblProductos[ITEM],0)),""))</f>
        <v/>
      </c>
      <c r="F194" s="15"/>
      <c r="G194" s="16" t="str">
        <f>IF(D194="","",IFERROR(INDEX(tblProductos[COSTO TOTAL],MATCH(D194,tblProductos[ITEM],0)),""))</f>
        <v/>
      </c>
      <c r="H194" s="16" t="str">
        <f t="shared" ref="H194:H257" si="7">IF(F194="","",F194*G194)</f>
        <v/>
      </c>
      <c r="I194" s="14" t="s">
        <v>42</v>
      </c>
      <c r="J194" s="14" t="s">
        <v>43</v>
      </c>
      <c r="K194" s="14"/>
    </row>
    <row r="195" spans="1:11" x14ac:dyDescent="0.3">
      <c r="A195" s="13"/>
      <c r="B195" s="14" t="str">
        <f t="shared" si="6"/>
        <v/>
      </c>
      <c r="C195" s="14"/>
      <c r="D195" s="14"/>
      <c r="E195" s="14" t="str">
        <f>IF(D195="","",IFERROR(INDEX(tblProductos[CATEGORIA],MATCH(D195,tblProductos[ITEM],0)),""))</f>
        <v/>
      </c>
      <c r="F195" s="15"/>
      <c r="G195" s="16" t="str">
        <f>IF(D195="","",IFERROR(INDEX(tblProductos[COSTO TOTAL],MATCH(D195,tblProductos[ITEM],0)),""))</f>
        <v/>
      </c>
      <c r="H195" s="16" t="str">
        <f t="shared" si="7"/>
        <v/>
      </c>
      <c r="I195" s="14" t="s">
        <v>42</v>
      </c>
      <c r="J195" s="14" t="s">
        <v>43</v>
      </c>
      <c r="K195" s="14"/>
    </row>
    <row r="196" spans="1:11" x14ac:dyDescent="0.3">
      <c r="A196" s="13"/>
      <c r="B196" s="14" t="str">
        <f t="shared" si="6"/>
        <v/>
      </c>
      <c r="C196" s="14"/>
      <c r="D196" s="14"/>
      <c r="E196" s="14" t="str">
        <f>IF(D196="","",IFERROR(INDEX(tblProductos[CATEGORIA],MATCH(D196,tblProductos[ITEM],0)),""))</f>
        <v/>
      </c>
      <c r="F196" s="15"/>
      <c r="G196" s="16" t="str">
        <f>IF(D196="","",IFERROR(INDEX(tblProductos[COSTO TOTAL],MATCH(D196,tblProductos[ITEM],0)),""))</f>
        <v/>
      </c>
      <c r="H196" s="16" t="str">
        <f t="shared" si="7"/>
        <v/>
      </c>
      <c r="I196" s="14" t="s">
        <v>42</v>
      </c>
      <c r="J196" s="14" t="s">
        <v>43</v>
      </c>
      <c r="K196" s="14"/>
    </row>
    <row r="197" spans="1:11" x14ac:dyDescent="0.3">
      <c r="A197" s="13"/>
      <c r="B197" s="14" t="str">
        <f t="shared" si="6"/>
        <v/>
      </c>
      <c r="C197" s="14"/>
      <c r="D197" s="14"/>
      <c r="E197" s="14" t="str">
        <f>IF(D197="","",IFERROR(INDEX(tblProductos[CATEGORIA],MATCH(D197,tblProductos[ITEM],0)),""))</f>
        <v/>
      </c>
      <c r="F197" s="15"/>
      <c r="G197" s="16" t="str">
        <f>IF(D197="","",IFERROR(INDEX(tblProductos[COSTO TOTAL],MATCH(D197,tblProductos[ITEM],0)),""))</f>
        <v/>
      </c>
      <c r="H197" s="16" t="str">
        <f t="shared" si="7"/>
        <v/>
      </c>
      <c r="I197" s="14" t="s">
        <v>42</v>
      </c>
      <c r="J197" s="14" t="s">
        <v>43</v>
      </c>
      <c r="K197" s="14"/>
    </row>
    <row r="198" spans="1:11" x14ac:dyDescent="0.3">
      <c r="A198" s="13"/>
      <c r="B198" s="14" t="str">
        <f t="shared" si="6"/>
        <v/>
      </c>
      <c r="C198" s="14"/>
      <c r="D198" s="14"/>
      <c r="E198" s="14" t="str">
        <f>IF(D198="","",IFERROR(INDEX(tblProductos[CATEGORIA],MATCH(D198,tblProductos[ITEM],0)),""))</f>
        <v/>
      </c>
      <c r="F198" s="15"/>
      <c r="G198" s="16" t="str">
        <f>IF(D198="","",IFERROR(INDEX(tblProductos[COSTO TOTAL],MATCH(D198,tblProductos[ITEM],0)),""))</f>
        <v/>
      </c>
      <c r="H198" s="16" t="str">
        <f t="shared" si="7"/>
        <v/>
      </c>
      <c r="I198" s="14" t="s">
        <v>42</v>
      </c>
      <c r="J198" s="14" t="s">
        <v>43</v>
      </c>
      <c r="K198" s="14"/>
    </row>
    <row r="199" spans="1:11" x14ac:dyDescent="0.3">
      <c r="A199" s="13"/>
      <c r="B199" s="14" t="str">
        <f t="shared" si="6"/>
        <v/>
      </c>
      <c r="C199" s="14"/>
      <c r="D199" s="14"/>
      <c r="E199" s="14" t="str">
        <f>IF(D199="","",IFERROR(INDEX(tblProductos[CATEGORIA],MATCH(D199,tblProductos[ITEM],0)),""))</f>
        <v/>
      </c>
      <c r="F199" s="15"/>
      <c r="G199" s="16" t="str">
        <f>IF(D199="","",IFERROR(INDEX(tblProductos[COSTO TOTAL],MATCH(D199,tblProductos[ITEM],0)),""))</f>
        <v/>
      </c>
      <c r="H199" s="16" t="str">
        <f t="shared" si="7"/>
        <v/>
      </c>
      <c r="I199" s="14" t="s">
        <v>42</v>
      </c>
      <c r="J199" s="14" t="s">
        <v>43</v>
      </c>
      <c r="K199" s="14"/>
    </row>
    <row r="200" spans="1:11" x14ac:dyDescent="0.3">
      <c r="A200" s="13"/>
      <c r="B200" s="14" t="str">
        <f t="shared" si="6"/>
        <v/>
      </c>
      <c r="C200" s="14"/>
      <c r="D200" s="14"/>
      <c r="E200" s="14" t="str">
        <f>IF(D200="","",IFERROR(INDEX(tblProductos[CATEGORIA],MATCH(D200,tblProductos[ITEM],0)),""))</f>
        <v/>
      </c>
      <c r="F200" s="15"/>
      <c r="G200" s="16" t="str">
        <f>IF(D200="","",IFERROR(INDEX(tblProductos[COSTO TOTAL],MATCH(D200,tblProductos[ITEM],0)),""))</f>
        <v/>
      </c>
      <c r="H200" s="16" t="str">
        <f t="shared" si="7"/>
        <v/>
      </c>
      <c r="I200" s="14" t="s">
        <v>42</v>
      </c>
      <c r="J200" s="14" t="s">
        <v>43</v>
      </c>
      <c r="K200" s="14"/>
    </row>
    <row r="201" spans="1:11" x14ac:dyDescent="0.3">
      <c r="A201" s="13"/>
      <c r="B201" s="14" t="str">
        <f t="shared" si="6"/>
        <v/>
      </c>
      <c r="C201" s="14"/>
      <c r="D201" s="14"/>
      <c r="E201" s="14" t="str">
        <f>IF(D201="","",IFERROR(INDEX(tblProductos[CATEGORIA],MATCH(D201,tblProductos[ITEM],0)),""))</f>
        <v/>
      </c>
      <c r="F201" s="15"/>
      <c r="G201" s="16" t="str">
        <f>IF(D201="","",IFERROR(INDEX(tblProductos[COSTO TOTAL],MATCH(D201,tblProductos[ITEM],0)),""))</f>
        <v/>
      </c>
      <c r="H201" s="16" t="str">
        <f t="shared" si="7"/>
        <v/>
      </c>
      <c r="I201" s="14" t="s">
        <v>42</v>
      </c>
      <c r="J201" s="14" t="s">
        <v>43</v>
      </c>
      <c r="K201" s="14"/>
    </row>
    <row r="202" spans="1:11" x14ac:dyDescent="0.3">
      <c r="A202" s="13"/>
      <c r="B202" s="14" t="str">
        <f t="shared" si="6"/>
        <v/>
      </c>
      <c r="C202" s="14"/>
      <c r="D202" s="14"/>
      <c r="E202" s="14" t="str">
        <f>IF(D202="","",IFERROR(INDEX(tblProductos[CATEGORIA],MATCH(D202,tblProductos[ITEM],0)),""))</f>
        <v/>
      </c>
      <c r="F202" s="15"/>
      <c r="G202" s="16" t="str">
        <f>IF(D202="","",IFERROR(INDEX(tblProductos[COSTO TOTAL],MATCH(D202,tblProductos[ITEM],0)),""))</f>
        <v/>
      </c>
      <c r="H202" s="16" t="str">
        <f t="shared" si="7"/>
        <v/>
      </c>
      <c r="I202" s="14" t="s">
        <v>42</v>
      </c>
      <c r="J202" s="14" t="s">
        <v>43</v>
      </c>
      <c r="K202" s="14"/>
    </row>
    <row r="203" spans="1:11" x14ac:dyDescent="0.3">
      <c r="A203" s="13"/>
      <c r="B203" s="14" t="str">
        <f t="shared" si="6"/>
        <v/>
      </c>
      <c r="C203" s="14"/>
      <c r="D203" s="14"/>
      <c r="E203" s="14" t="str">
        <f>IF(D203="","",IFERROR(INDEX(tblProductos[CATEGORIA],MATCH(D203,tblProductos[ITEM],0)),""))</f>
        <v/>
      </c>
      <c r="F203" s="15"/>
      <c r="G203" s="16" t="str">
        <f>IF(D203="","",IFERROR(INDEX(tblProductos[COSTO TOTAL],MATCH(D203,tblProductos[ITEM],0)),""))</f>
        <v/>
      </c>
      <c r="H203" s="16" t="str">
        <f t="shared" si="7"/>
        <v/>
      </c>
      <c r="I203" s="14" t="s">
        <v>42</v>
      </c>
      <c r="J203" s="14" t="s">
        <v>43</v>
      </c>
      <c r="K203" s="14"/>
    </row>
    <row r="204" spans="1:11" x14ac:dyDescent="0.3">
      <c r="A204" s="13"/>
      <c r="B204" s="14" t="str">
        <f t="shared" si="6"/>
        <v/>
      </c>
      <c r="C204" s="14"/>
      <c r="D204" s="14"/>
      <c r="E204" s="14" t="str">
        <f>IF(D204="","",IFERROR(INDEX(tblProductos[CATEGORIA],MATCH(D204,tblProductos[ITEM],0)),""))</f>
        <v/>
      </c>
      <c r="F204" s="15"/>
      <c r="G204" s="16" t="str">
        <f>IF(D204="","",IFERROR(INDEX(tblProductos[COSTO TOTAL],MATCH(D204,tblProductos[ITEM],0)),""))</f>
        <v/>
      </c>
      <c r="H204" s="16" t="str">
        <f t="shared" si="7"/>
        <v/>
      </c>
      <c r="I204" s="14" t="s">
        <v>42</v>
      </c>
      <c r="J204" s="14" t="s">
        <v>43</v>
      </c>
      <c r="K204" s="14"/>
    </row>
    <row r="205" spans="1:11" x14ac:dyDescent="0.3">
      <c r="A205" s="13"/>
      <c r="B205" s="14" t="str">
        <f t="shared" si="6"/>
        <v/>
      </c>
      <c r="C205" s="14"/>
      <c r="D205" s="14"/>
      <c r="E205" s="14" t="str">
        <f>IF(D205="","",IFERROR(INDEX(tblProductos[CATEGORIA],MATCH(D205,tblProductos[ITEM],0)),""))</f>
        <v/>
      </c>
      <c r="F205" s="15"/>
      <c r="G205" s="16" t="str">
        <f>IF(D205="","",IFERROR(INDEX(tblProductos[COSTO TOTAL],MATCH(D205,tblProductos[ITEM],0)),""))</f>
        <v/>
      </c>
      <c r="H205" s="16" t="str">
        <f t="shared" si="7"/>
        <v/>
      </c>
      <c r="I205" s="14" t="s">
        <v>42</v>
      </c>
      <c r="J205" s="14" t="s">
        <v>43</v>
      </c>
      <c r="K205" s="14"/>
    </row>
    <row r="206" spans="1:11" x14ac:dyDescent="0.3">
      <c r="A206" s="13"/>
      <c r="B206" s="14" t="str">
        <f t="shared" si="6"/>
        <v/>
      </c>
      <c r="C206" s="14"/>
      <c r="D206" s="14"/>
      <c r="E206" s="14" t="str">
        <f>IF(D206="","",IFERROR(INDEX(tblProductos[CATEGORIA],MATCH(D206,tblProductos[ITEM],0)),""))</f>
        <v/>
      </c>
      <c r="F206" s="15"/>
      <c r="G206" s="16" t="str">
        <f>IF(D206="","",IFERROR(INDEX(tblProductos[COSTO TOTAL],MATCH(D206,tblProductos[ITEM],0)),""))</f>
        <v/>
      </c>
      <c r="H206" s="16" t="str">
        <f t="shared" si="7"/>
        <v/>
      </c>
      <c r="I206" s="14" t="s">
        <v>42</v>
      </c>
      <c r="J206" s="14" t="s">
        <v>43</v>
      </c>
      <c r="K206" s="14"/>
    </row>
    <row r="207" spans="1:11" x14ac:dyDescent="0.3">
      <c r="A207" s="13"/>
      <c r="B207" s="14" t="str">
        <f t="shared" si="6"/>
        <v/>
      </c>
      <c r="C207" s="14"/>
      <c r="D207" s="14"/>
      <c r="E207" s="14" t="str">
        <f>IF(D207="","",IFERROR(INDEX(tblProductos[CATEGORIA],MATCH(D207,tblProductos[ITEM],0)),""))</f>
        <v/>
      </c>
      <c r="F207" s="15"/>
      <c r="G207" s="16" t="str">
        <f>IF(D207="","",IFERROR(INDEX(tblProductos[COSTO TOTAL],MATCH(D207,tblProductos[ITEM],0)),""))</f>
        <v/>
      </c>
      <c r="H207" s="16" t="str">
        <f t="shared" si="7"/>
        <v/>
      </c>
      <c r="I207" s="14" t="s">
        <v>42</v>
      </c>
      <c r="J207" s="14" t="s">
        <v>43</v>
      </c>
      <c r="K207" s="14"/>
    </row>
    <row r="208" spans="1:11" x14ac:dyDescent="0.3">
      <c r="A208" s="13"/>
      <c r="B208" s="14" t="str">
        <f t="shared" si="6"/>
        <v/>
      </c>
      <c r="C208" s="14"/>
      <c r="D208" s="14"/>
      <c r="E208" s="14" t="str">
        <f>IF(D208="","",IFERROR(INDEX(tblProductos[CATEGORIA],MATCH(D208,tblProductos[ITEM],0)),""))</f>
        <v/>
      </c>
      <c r="F208" s="15"/>
      <c r="G208" s="16" t="str">
        <f>IF(D208="","",IFERROR(INDEX(tblProductos[COSTO TOTAL],MATCH(D208,tblProductos[ITEM],0)),""))</f>
        <v/>
      </c>
      <c r="H208" s="16" t="str">
        <f t="shared" si="7"/>
        <v/>
      </c>
      <c r="I208" s="14" t="s">
        <v>42</v>
      </c>
      <c r="J208" s="14" t="s">
        <v>43</v>
      </c>
      <c r="K208" s="14"/>
    </row>
    <row r="209" spans="1:11" x14ac:dyDescent="0.3">
      <c r="A209" s="13"/>
      <c r="B209" s="14" t="str">
        <f t="shared" si="6"/>
        <v/>
      </c>
      <c r="C209" s="14"/>
      <c r="D209" s="14"/>
      <c r="E209" s="14" t="str">
        <f>IF(D209="","",IFERROR(INDEX(tblProductos[CATEGORIA],MATCH(D209,tblProductos[ITEM],0)),""))</f>
        <v/>
      </c>
      <c r="F209" s="15"/>
      <c r="G209" s="16" t="str">
        <f>IF(D209="","",IFERROR(INDEX(tblProductos[COSTO TOTAL],MATCH(D209,tblProductos[ITEM],0)),""))</f>
        <v/>
      </c>
      <c r="H209" s="16" t="str">
        <f t="shared" si="7"/>
        <v/>
      </c>
      <c r="I209" s="14" t="s">
        <v>42</v>
      </c>
      <c r="J209" s="14" t="s">
        <v>43</v>
      </c>
      <c r="K209" s="14"/>
    </row>
    <row r="210" spans="1:11" x14ac:dyDescent="0.3">
      <c r="A210" s="13"/>
      <c r="B210" s="14" t="str">
        <f t="shared" si="6"/>
        <v/>
      </c>
      <c r="C210" s="14"/>
      <c r="D210" s="14"/>
      <c r="E210" s="14" t="str">
        <f>IF(D210="","",IFERROR(INDEX(tblProductos[CATEGORIA],MATCH(D210,tblProductos[ITEM],0)),""))</f>
        <v/>
      </c>
      <c r="F210" s="15"/>
      <c r="G210" s="16" t="str">
        <f>IF(D210="","",IFERROR(INDEX(tblProductos[COSTO TOTAL],MATCH(D210,tblProductos[ITEM],0)),""))</f>
        <v/>
      </c>
      <c r="H210" s="16" t="str">
        <f t="shared" si="7"/>
        <v/>
      </c>
      <c r="I210" s="14" t="s">
        <v>42</v>
      </c>
      <c r="J210" s="14" t="s">
        <v>43</v>
      </c>
      <c r="K210" s="14"/>
    </row>
    <row r="211" spans="1:11" x14ac:dyDescent="0.3">
      <c r="A211" s="13"/>
      <c r="B211" s="14" t="str">
        <f t="shared" si="6"/>
        <v/>
      </c>
      <c r="C211" s="14"/>
      <c r="D211" s="14"/>
      <c r="E211" s="14" t="str">
        <f>IF(D211="","",IFERROR(INDEX(tblProductos[CATEGORIA],MATCH(D211,tblProductos[ITEM],0)),""))</f>
        <v/>
      </c>
      <c r="F211" s="15"/>
      <c r="G211" s="16" t="str">
        <f>IF(D211="","",IFERROR(INDEX(tblProductos[COSTO TOTAL],MATCH(D211,tblProductos[ITEM],0)),""))</f>
        <v/>
      </c>
      <c r="H211" s="16" t="str">
        <f t="shared" si="7"/>
        <v/>
      </c>
      <c r="I211" s="14" t="s">
        <v>42</v>
      </c>
      <c r="J211" s="14" t="s">
        <v>43</v>
      </c>
      <c r="K211" s="14"/>
    </row>
    <row r="212" spans="1:11" x14ac:dyDescent="0.3">
      <c r="A212" s="13"/>
      <c r="B212" s="14" t="str">
        <f t="shared" si="6"/>
        <v/>
      </c>
      <c r="C212" s="14"/>
      <c r="D212" s="14"/>
      <c r="E212" s="14" t="str">
        <f>IF(D212="","",IFERROR(INDEX(tblProductos[CATEGORIA],MATCH(D212,tblProductos[ITEM],0)),""))</f>
        <v/>
      </c>
      <c r="F212" s="15"/>
      <c r="G212" s="16" t="str">
        <f>IF(D212="","",IFERROR(INDEX(tblProductos[COSTO TOTAL],MATCH(D212,tblProductos[ITEM],0)),""))</f>
        <v/>
      </c>
      <c r="H212" s="16" t="str">
        <f t="shared" si="7"/>
        <v/>
      </c>
      <c r="I212" s="14" t="s">
        <v>42</v>
      </c>
      <c r="J212" s="14" t="s">
        <v>43</v>
      </c>
      <c r="K212" s="14"/>
    </row>
    <row r="213" spans="1:11" x14ac:dyDescent="0.3">
      <c r="A213" s="13"/>
      <c r="B213" s="14" t="str">
        <f t="shared" si="6"/>
        <v/>
      </c>
      <c r="C213" s="14"/>
      <c r="D213" s="14"/>
      <c r="E213" s="14" t="str">
        <f>IF(D213="","",IFERROR(INDEX(tblProductos[CATEGORIA],MATCH(D213,tblProductos[ITEM],0)),""))</f>
        <v/>
      </c>
      <c r="F213" s="15"/>
      <c r="G213" s="16" t="str">
        <f>IF(D213="","",IFERROR(INDEX(tblProductos[COSTO TOTAL],MATCH(D213,tblProductos[ITEM],0)),""))</f>
        <v/>
      </c>
      <c r="H213" s="16" t="str">
        <f t="shared" si="7"/>
        <v/>
      </c>
      <c r="I213" s="14" t="s">
        <v>42</v>
      </c>
      <c r="J213" s="14" t="s">
        <v>43</v>
      </c>
      <c r="K213" s="14"/>
    </row>
    <row r="214" spans="1:11" x14ac:dyDescent="0.3">
      <c r="A214" s="13"/>
      <c r="B214" s="14" t="str">
        <f t="shared" si="6"/>
        <v/>
      </c>
      <c r="C214" s="14"/>
      <c r="D214" s="14"/>
      <c r="E214" s="14" t="str">
        <f>IF(D214="","",IFERROR(INDEX(tblProductos[CATEGORIA],MATCH(D214,tblProductos[ITEM],0)),""))</f>
        <v/>
      </c>
      <c r="F214" s="15"/>
      <c r="G214" s="16" t="str">
        <f>IF(D214="","",IFERROR(INDEX(tblProductos[COSTO TOTAL],MATCH(D214,tblProductos[ITEM],0)),""))</f>
        <v/>
      </c>
      <c r="H214" s="16" t="str">
        <f t="shared" si="7"/>
        <v/>
      </c>
      <c r="I214" s="14" t="s">
        <v>42</v>
      </c>
      <c r="J214" s="14" t="s">
        <v>43</v>
      </c>
      <c r="K214" s="14"/>
    </row>
    <row r="215" spans="1:11" x14ac:dyDescent="0.3">
      <c r="A215" s="13"/>
      <c r="B215" s="14" t="str">
        <f t="shared" si="6"/>
        <v/>
      </c>
      <c r="C215" s="14"/>
      <c r="D215" s="14"/>
      <c r="E215" s="14" t="str">
        <f>IF(D215="","",IFERROR(INDEX(tblProductos[CATEGORIA],MATCH(D215,tblProductos[ITEM],0)),""))</f>
        <v/>
      </c>
      <c r="F215" s="15"/>
      <c r="G215" s="16" t="str">
        <f>IF(D215="","",IFERROR(INDEX(tblProductos[COSTO TOTAL],MATCH(D215,tblProductos[ITEM],0)),""))</f>
        <v/>
      </c>
      <c r="H215" s="16" t="str">
        <f t="shared" si="7"/>
        <v/>
      </c>
      <c r="I215" s="14" t="s">
        <v>42</v>
      </c>
      <c r="J215" s="14" t="s">
        <v>43</v>
      </c>
      <c r="K215" s="14"/>
    </row>
    <row r="216" spans="1:11" x14ac:dyDescent="0.3">
      <c r="A216" s="13"/>
      <c r="B216" s="14" t="str">
        <f t="shared" si="6"/>
        <v/>
      </c>
      <c r="C216" s="14"/>
      <c r="D216" s="14"/>
      <c r="E216" s="14" t="str">
        <f>IF(D216="","",IFERROR(INDEX(tblProductos[CATEGORIA],MATCH(D216,tblProductos[ITEM],0)),""))</f>
        <v/>
      </c>
      <c r="F216" s="15"/>
      <c r="G216" s="16" t="str">
        <f>IF(D216="","",IFERROR(INDEX(tblProductos[COSTO TOTAL],MATCH(D216,tblProductos[ITEM],0)),""))</f>
        <v/>
      </c>
      <c r="H216" s="16" t="str">
        <f t="shared" si="7"/>
        <v/>
      </c>
      <c r="I216" s="14" t="s">
        <v>42</v>
      </c>
      <c r="J216" s="14" t="s">
        <v>43</v>
      </c>
      <c r="K216" s="14"/>
    </row>
    <row r="217" spans="1:11" x14ac:dyDescent="0.3">
      <c r="A217" s="13"/>
      <c r="B217" s="14" t="str">
        <f t="shared" si="6"/>
        <v/>
      </c>
      <c r="C217" s="14"/>
      <c r="D217" s="14"/>
      <c r="E217" s="14" t="str">
        <f>IF(D217="","",IFERROR(INDEX(tblProductos[CATEGORIA],MATCH(D217,tblProductos[ITEM],0)),""))</f>
        <v/>
      </c>
      <c r="F217" s="15"/>
      <c r="G217" s="16" t="str">
        <f>IF(D217="","",IFERROR(INDEX(tblProductos[COSTO TOTAL],MATCH(D217,tblProductos[ITEM],0)),""))</f>
        <v/>
      </c>
      <c r="H217" s="16" t="str">
        <f t="shared" si="7"/>
        <v/>
      </c>
      <c r="I217" s="14" t="s">
        <v>42</v>
      </c>
      <c r="J217" s="14" t="s">
        <v>43</v>
      </c>
      <c r="K217" s="14"/>
    </row>
    <row r="218" spans="1:11" x14ac:dyDescent="0.3">
      <c r="A218" s="13"/>
      <c r="B218" s="14" t="str">
        <f t="shared" si="6"/>
        <v/>
      </c>
      <c r="C218" s="14"/>
      <c r="D218" s="14"/>
      <c r="E218" s="14" t="str">
        <f>IF(D218="","",IFERROR(INDEX(tblProductos[CATEGORIA],MATCH(D218,tblProductos[ITEM],0)),""))</f>
        <v/>
      </c>
      <c r="F218" s="15"/>
      <c r="G218" s="16" t="str">
        <f>IF(D218="","",IFERROR(INDEX(tblProductos[COSTO TOTAL],MATCH(D218,tblProductos[ITEM],0)),""))</f>
        <v/>
      </c>
      <c r="H218" s="16" t="str">
        <f t="shared" si="7"/>
        <v/>
      </c>
      <c r="I218" s="14" t="s">
        <v>42</v>
      </c>
      <c r="J218" s="14" t="s">
        <v>43</v>
      </c>
      <c r="K218" s="14"/>
    </row>
    <row r="219" spans="1:11" x14ac:dyDescent="0.3">
      <c r="A219" s="13"/>
      <c r="B219" s="14" t="str">
        <f t="shared" si="6"/>
        <v/>
      </c>
      <c r="C219" s="14"/>
      <c r="D219" s="14"/>
      <c r="E219" s="14" t="str">
        <f>IF(D219="","",IFERROR(INDEX(tblProductos[CATEGORIA],MATCH(D219,tblProductos[ITEM],0)),""))</f>
        <v/>
      </c>
      <c r="F219" s="15"/>
      <c r="G219" s="16" t="str">
        <f>IF(D219="","",IFERROR(INDEX(tblProductos[COSTO TOTAL],MATCH(D219,tblProductos[ITEM],0)),""))</f>
        <v/>
      </c>
      <c r="H219" s="16" t="str">
        <f t="shared" si="7"/>
        <v/>
      </c>
      <c r="I219" s="14" t="s">
        <v>42</v>
      </c>
      <c r="J219" s="14" t="s">
        <v>43</v>
      </c>
      <c r="K219" s="14"/>
    </row>
    <row r="220" spans="1:11" x14ac:dyDescent="0.3">
      <c r="A220" s="13"/>
      <c r="B220" s="14" t="str">
        <f t="shared" si="6"/>
        <v/>
      </c>
      <c r="C220" s="14"/>
      <c r="D220" s="14"/>
      <c r="E220" s="14" t="str">
        <f>IF(D220="","",IFERROR(INDEX(tblProductos[CATEGORIA],MATCH(D220,tblProductos[ITEM],0)),""))</f>
        <v/>
      </c>
      <c r="F220" s="15"/>
      <c r="G220" s="16" t="str">
        <f>IF(D220="","",IFERROR(INDEX(tblProductos[COSTO TOTAL],MATCH(D220,tblProductos[ITEM],0)),""))</f>
        <v/>
      </c>
      <c r="H220" s="16" t="str">
        <f t="shared" si="7"/>
        <v/>
      </c>
      <c r="I220" s="14" t="s">
        <v>42</v>
      </c>
      <c r="J220" s="14" t="s">
        <v>43</v>
      </c>
      <c r="K220" s="14"/>
    </row>
    <row r="221" spans="1:11" x14ac:dyDescent="0.3">
      <c r="A221" s="13"/>
      <c r="B221" s="14" t="str">
        <f t="shared" si="6"/>
        <v/>
      </c>
      <c r="C221" s="14"/>
      <c r="D221" s="14"/>
      <c r="E221" s="14" t="str">
        <f>IF(D221="","",IFERROR(INDEX(tblProductos[CATEGORIA],MATCH(D221,tblProductos[ITEM],0)),""))</f>
        <v/>
      </c>
      <c r="F221" s="15"/>
      <c r="G221" s="16" t="str">
        <f>IF(D221="","",IFERROR(INDEX(tblProductos[COSTO TOTAL],MATCH(D221,tblProductos[ITEM],0)),""))</f>
        <v/>
      </c>
      <c r="H221" s="16" t="str">
        <f t="shared" si="7"/>
        <v/>
      </c>
      <c r="I221" s="14" t="s">
        <v>42</v>
      </c>
      <c r="J221" s="14" t="s">
        <v>43</v>
      </c>
      <c r="K221" s="14"/>
    </row>
    <row r="222" spans="1:11" x14ac:dyDescent="0.3">
      <c r="A222" s="13"/>
      <c r="B222" s="14" t="str">
        <f t="shared" si="6"/>
        <v/>
      </c>
      <c r="C222" s="14"/>
      <c r="D222" s="14"/>
      <c r="E222" s="14" t="str">
        <f>IF(D222="","",IFERROR(INDEX(tblProductos[CATEGORIA],MATCH(D222,tblProductos[ITEM],0)),""))</f>
        <v/>
      </c>
      <c r="F222" s="15"/>
      <c r="G222" s="16" t="str">
        <f>IF(D222="","",IFERROR(INDEX(tblProductos[COSTO TOTAL],MATCH(D222,tblProductos[ITEM],0)),""))</f>
        <v/>
      </c>
      <c r="H222" s="16" t="str">
        <f t="shared" si="7"/>
        <v/>
      </c>
      <c r="I222" s="14" t="s">
        <v>42</v>
      </c>
      <c r="J222" s="14" t="s">
        <v>43</v>
      </c>
      <c r="K222" s="14"/>
    </row>
    <row r="223" spans="1:11" x14ac:dyDescent="0.3">
      <c r="A223" s="13"/>
      <c r="B223" s="14" t="str">
        <f t="shared" si="6"/>
        <v/>
      </c>
      <c r="C223" s="14"/>
      <c r="D223" s="14"/>
      <c r="E223" s="14" t="str">
        <f>IF(D223="","",IFERROR(INDEX(tblProductos[CATEGORIA],MATCH(D223,tblProductos[ITEM],0)),""))</f>
        <v/>
      </c>
      <c r="F223" s="15"/>
      <c r="G223" s="16" t="str">
        <f>IF(D223="","",IFERROR(INDEX(tblProductos[COSTO TOTAL],MATCH(D223,tblProductos[ITEM],0)),""))</f>
        <v/>
      </c>
      <c r="H223" s="16" t="str">
        <f t="shared" si="7"/>
        <v/>
      </c>
      <c r="I223" s="14" t="s">
        <v>42</v>
      </c>
      <c r="J223" s="14" t="s">
        <v>43</v>
      </c>
      <c r="K223" s="14"/>
    </row>
    <row r="224" spans="1:11" x14ac:dyDescent="0.3">
      <c r="A224" s="13"/>
      <c r="B224" s="14" t="str">
        <f t="shared" si="6"/>
        <v/>
      </c>
      <c r="C224" s="14"/>
      <c r="D224" s="14"/>
      <c r="E224" s="14" t="str">
        <f>IF(D224="","",IFERROR(INDEX(tblProductos[CATEGORIA],MATCH(D224,tblProductos[ITEM],0)),""))</f>
        <v/>
      </c>
      <c r="F224" s="15"/>
      <c r="G224" s="16" t="str">
        <f>IF(D224="","",IFERROR(INDEX(tblProductos[COSTO TOTAL],MATCH(D224,tblProductos[ITEM],0)),""))</f>
        <v/>
      </c>
      <c r="H224" s="16" t="str">
        <f t="shared" si="7"/>
        <v/>
      </c>
      <c r="I224" s="14" t="s">
        <v>42</v>
      </c>
      <c r="J224" s="14" t="s">
        <v>43</v>
      </c>
      <c r="K224" s="14"/>
    </row>
    <row r="225" spans="1:11" x14ac:dyDescent="0.3">
      <c r="A225" s="13"/>
      <c r="B225" s="14" t="str">
        <f t="shared" si="6"/>
        <v/>
      </c>
      <c r="C225" s="14"/>
      <c r="D225" s="14"/>
      <c r="E225" s="14" t="str">
        <f>IF(D225="","",IFERROR(INDEX(tblProductos[CATEGORIA],MATCH(D225,tblProductos[ITEM],0)),""))</f>
        <v/>
      </c>
      <c r="F225" s="15"/>
      <c r="G225" s="16" t="str">
        <f>IF(D225="","",IFERROR(INDEX(tblProductos[COSTO TOTAL],MATCH(D225,tblProductos[ITEM],0)),""))</f>
        <v/>
      </c>
      <c r="H225" s="16" t="str">
        <f t="shared" si="7"/>
        <v/>
      </c>
      <c r="I225" s="14" t="s">
        <v>42</v>
      </c>
      <c r="J225" s="14" t="s">
        <v>43</v>
      </c>
      <c r="K225" s="14"/>
    </row>
    <row r="226" spans="1:11" x14ac:dyDescent="0.3">
      <c r="A226" s="13"/>
      <c r="B226" s="14" t="str">
        <f t="shared" si="6"/>
        <v/>
      </c>
      <c r="C226" s="14"/>
      <c r="D226" s="14"/>
      <c r="E226" s="14" t="str">
        <f>IF(D226="","",IFERROR(INDEX(tblProductos[CATEGORIA],MATCH(D226,tblProductos[ITEM],0)),""))</f>
        <v/>
      </c>
      <c r="F226" s="15"/>
      <c r="G226" s="16" t="str">
        <f>IF(D226="","",IFERROR(INDEX(tblProductos[COSTO TOTAL],MATCH(D226,tblProductos[ITEM],0)),""))</f>
        <v/>
      </c>
      <c r="H226" s="16" t="str">
        <f t="shared" si="7"/>
        <v/>
      </c>
      <c r="I226" s="14" t="s">
        <v>42</v>
      </c>
      <c r="J226" s="14" t="s">
        <v>43</v>
      </c>
      <c r="K226" s="14"/>
    </row>
    <row r="227" spans="1:11" x14ac:dyDescent="0.3">
      <c r="A227" s="13"/>
      <c r="B227" s="14" t="str">
        <f t="shared" si="6"/>
        <v/>
      </c>
      <c r="C227" s="14"/>
      <c r="D227" s="14"/>
      <c r="E227" s="14" t="str">
        <f>IF(D227="","",IFERROR(INDEX(tblProductos[CATEGORIA],MATCH(D227,tblProductos[ITEM],0)),""))</f>
        <v/>
      </c>
      <c r="F227" s="15"/>
      <c r="G227" s="16" t="str">
        <f>IF(D227="","",IFERROR(INDEX(tblProductos[COSTO TOTAL],MATCH(D227,tblProductos[ITEM],0)),""))</f>
        <v/>
      </c>
      <c r="H227" s="16" t="str">
        <f t="shared" si="7"/>
        <v/>
      </c>
      <c r="I227" s="14" t="s">
        <v>42</v>
      </c>
      <c r="J227" s="14" t="s">
        <v>43</v>
      </c>
      <c r="K227" s="14"/>
    </row>
    <row r="228" spans="1:11" x14ac:dyDescent="0.3">
      <c r="A228" s="13"/>
      <c r="B228" s="14" t="str">
        <f t="shared" si="6"/>
        <v/>
      </c>
      <c r="C228" s="14"/>
      <c r="D228" s="14"/>
      <c r="E228" s="14" t="str">
        <f>IF(D228="","",IFERROR(INDEX(tblProductos[CATEGORIA],MATCH(D228,tblProductos[ITEM],0)),""))</f>
        <v/>
      </c>
      <c r="F228" s="15"/>
      <c r="G228" s="16" t="str">
        <f>IF(D228="","",IFERROR(INDEX(tblProductos[COSTO TOTAL],MATCH(D228,tblProductos[ITEM],0)),""))</f>
        <v/>
      </c>
      <c r="H228" s="16" t="str">
        <f t="shared" si="7"/>
        <v/>
      </c>
      <c r="I228" s="14" t="s">
        <v>42</v>
      </c>
      <c r="J228" s="14" t="s">
        <v>43</v>
      </c>
      <c r="K228" s="14"/>
    </row>
    <row r="229" spans="1:11" x14ac:dyDescent="0.3">
      <c r="A229" s="13"/>
      <c r="B229" s="14" t="str">
        <f t="shared" si="6"/>
        <v/>
      </c>
      <c r="C229" s="14"/>
      <c r="D229" s="14"/>
      <c r="E229" s="14" t="str">
        <f>IF(D229="","",IFERROR(INDEX(tblProductos[CATEGORIA],MATCH(D229,tblProductos[ITEM],0)),""))</f>
        <v/>
      </c>
      <c r="F229" s="15"/>
      <c r="G229" s="16" t="str">
        <f>IF(D229="","",IFERROR(INDEX(tblProductos[COSTO TOTAL],MATCH(D229,tblProductos[ITEM],0)),""))</f>
        <v/>
      </c>
      <c r="H229" s="16" t="str">
        <f t="shared" si="7"/>
        <v/>
      </c>
      <c r="I229" s="14" t="s">
        <v>42</v>
      </c>
      <c r="J229" s="14" t="s">
        <v>43</v>
      </c>
      <c r="K229" s="14"/>
    </row>
    <row r="230" spans="1:11" x14ac:dyDescent="0.3">
      <c r="A230" s="13"/>
      <c r="B230" s="14" t="str">
        <f t="shared" si="6"/>
        <v/>
      </c>
      <c r="C230" s="14"/>
      <c r="D230" s="14"/>
      <c r="E230" s="14" t="str">
        <f>IF(D230="","",IFERROR(INDEX(tblProductos[CATEGORIA],MATCH(D230,tblProductos[ITEM],0)),""))</f>
        <v/>
      </c>
      <c r="F230" s="15"/>
      <c r="G230" s="16" t="str">
        <f>IF(D230="","",IFERROR(INDEX(tblProductos[COSTO TOTAL],MATCH(D230,tblProductos[ITEM],0)),""))</f>
        <v/>
      </c>
      <c r="H230" s="16" t="str">
        <f t="shared" si="7"/>
        <v/>
      </c>
      <c r="I230" s="14" t="s">
        <v>42</v>
      </c>
      <c r="J230" s="14" t="s">
        <v>43</v>
      </c>
      <c r="K230" s="14"/>
    </row>
    <row r="231" spans="1:11" x14ac:dyDescent="0.3">
      <c r="A231" s="13"/>
      <c r="B231" s="14" t="str">
        <f t="shared" si="6"/>
        <v/>
      </c>
      <c r="C231" s="14"/>
      <c r="D231" s="14"/>
      <c r="E231" s="14" t="str">
        <f>IF(D231="","",IFERROR(INDEX(tblProductos[CATEGORIA],MATCH(D231,tblProductos[ITEM],0)),""))</f>
        <v/>
      </c>
      <c r="F231" s="15"/>
      <c r="G231" s="16" t="str">
        <f>IF(D231="","",IFERROR(INDEX(tblProductos[COSTO TOTAL],MATCH(D231,tblProductos[ITEM],0)),""))</f>
        <v/>
      </c>
      <c r="H231" s="16" t="str">
        <f t="shared" si="7"/>
        <v/>
      </c>
      <c r="I231" s="14" t="s">
        <v>42</v>
      </c>
      <c r="J231" s="14" t="s">
        <v>43</v>
      </c>
      <c r="K231" s="14"/>
    </row>
    <row r="232" spans="1:11" x14ac:dyDescent="0.3">
      <c r="A232" s="13"/>
      <c r="B232" s="14" t="str">
        <f t="shared" si="6"/>
        <v/>
      </c>
      <c r="C232" s="14"/>
      <c r="D232" s="14"/>
      <c r="E232" s="14" t="str">
        <f>IF(D232="","",IFERROR(INDEX(tblProductos[CATEGORIA],MATCH(D232,tblProductos[ITEM],0)),""))</f>
        <v/>
      </c>
      <c r="F232" s="15"/>
      <c r="G232" s="16" t="str">
        <f>IF(D232="","",IFERROR(INDEX(tblProductos[COSTO TOTAL],MATCH(D232,tblProductos[ITEM],0)),""))</f>
        <v/>
      </c>
      <c r="H232" s="16" t="str">
        <f t="shared" si="7"/>
        <v/>
      </c>
      <c r="I232" s="14" t="s">
        <v>42</v>
      </c>
      <c r="J232" s="14" t="s">
        <v>43</v>
      </c>
      <c r="K232" s="14"/>
    </row>
    <row r="233" spans="1:11" x14ac:dyDescent="0.3">
      <c r="A233" s="13"/>
      <c r="B233" s="14" t="str">
        <f t="shared" si="6"/>
        <v/>
      </c>
      <c r="C233" s="14"/>
      <c r="D233" s="14"/>
      <c r="E233" s="14" t="str">
        <f>IF(D233="","",IFERROR(INDEX(tblProductos[CATEGORIA],MATCH(D233,tblProductos[ITEM],0)),""))</f>
        <v/>
      </c>
      <c r="F233" s="15"/>
      <c r="G233" s="16" t="str">
        <f>IF(D233="","",IFERROR(INDEX(tblProductos[COSTO TOTAL],MATCH(D233,tblProductos[ITEM],0)),""))</f>
        <v/>
      </c>
      <c r="H233" s="16" t="str">
        <f t="shared" si="7"/>
        <v/>
      </c>
      <c r="I233" s="14" t="s">
        <v>42</v>
      </c>
      <c r="J233" s="14" t="s">
        <v>43</v>
      </c>
      <c r="K233" s="14"/>
    </row>
    <row r="234" spans="1:11" x14ac:dyDescent="0.3">
      <c r="A234" s="13"/>
      <c r="B234" s="14" t="str">
        <f t="shared" si="6"/>
        <v/>
      </c>
      <c r="C234" s="14"/>
      <c r="D234" s="14"/>
      <c r="E234" s="14" t="str">
        <f>IF(D234="","",IFERROR(INDEX(tblProductos[CATEGORIA],MATCH(D234,tblProductos[ITEM],0)),""))</f>
        <v/>
      </c>
      <c r="F234" s="15"/>
      <c r="G234" s="16" t="str">
        <f>IF(D234="","",IFERROR(INDEX(tblProductos[COSTO TOTAL],MATCH(D234,tblProductos[ITEM],0)),""))</f>
        <v/>
      </c>
      <c r="H234" s="16" t="str">
        <f t="shared" si="7"/>
        <v/>
      </c>
      <c r="I234" s="14" t="s">
        <v>42</v>
      </c>
      <c r="J234" s="14" t="s">
        <v>43</v>
      </c>
      <c r="K234" s="14"/>
    </row>
    <row r="235" spans="1:11" x14ac:dyDescent="0.3">
      <c r="A235" s="13"/>
      <c r="B235" s="14" t="str">
        <f t="shared" si="6"/>
        <v/>
      </c>
      <c r="C235" s="14"/>
      <c r="D235" s="14"/>
      <c r="E235" s="14" t="str">
        <f>IF(D235="","",IFERROR(INDEX(tblProductos[CATEGORIA],MATCH(D235,tblProductos[ITEM],0)),""))</f>
        <v/>
      </c>
      <c r="F235" s="15"/>
      <c r="G235" s="16" t="str">
        <f>IF(D235="","",IFERROR(INDEX(tblProductos[COSTO TOTAL],MATCH(D235,tblProductos[ITEM],0)),""))</f>
        <v/>
      </c>
      <c r="H235" s="16" t="str">
        <f t="shared" si="7"/>
        <v/>
      </c>
      <c r="I235" s="14" t="s">
        <v>42</v>
      </c>
      <c r="J235" s="14" t="s">
        <v>43</v>
      </c>
      <c r="K235" s="14"/>
    </row>
    <row r="236" spans="1:11" x14ac:dyDescent="0.3">
      <c r="A236" s="13"/>
      <c r="B236" s="14" t="str">
        <f t="shared" si="6"/>
        <v/>
      </c>
      <c r="C236" s="14"/>
      <c r="D236" s="14"/>
      <c r="E236" s="14" t="str">
        <f>IF(D236="","",IFERROR(INDEX(tblProductos[CATEGORIA],MATCH(D236,tblProductos[ITEM],0)),""))</f>
        <v/>
      </c>
      <c r="F236" s="15"/>
      <c r="G236" s="16" t="str">
        <f>IF(D236="","",IFERROR(INDEX(tblProductos[COSTO TOTAL],MATCH(D236,tblProductos[ITEM],0)),""))</f>
        <v/>
      </c>
      <c r="H236" s="16" t="str">
        <f t="shared" si="7"/>
        <v/>
      </c>
      <c r="I236" s="14" t="s">
        <v>42</v>
      </c>
      <c r="J236" s="14" t="s">
        <v>43</v>
      </c>
      <c r="K236" s="14"/>
    </row>
    <row r="237" spans="1:11" x14ac:dyDescent="0.3">
      <c r="A237" s="13"/>
      <c r="B237" s="14" t="str">
        <f t="shared" si="6"/>
        <v/>
      </c>
      <c r="C237" s="14"/>
      <c r="D237" s="14"/>
      <c r="E237" s="14" t="str">
        <f>IF(D237="","",IFERROR(INDEX(tblProductos[CATEGORIA],MATCH(D237,tblProductos[ITEM],0)),""))</f>
        <v/>
      </c>
      <c r="F237" s="15"/>
      <c r="G237" s="16" t="str">
        <f>IF(D237="","",IFERROR(INDEX(tblProductos[COSTO TOTAL],MATCH(D237,tblProductos[ITEM],0)),""))</f>
        <v/>
      </c>
      <c r="H237" s="16" t="str">
        <f t="shared" si="7"/>
        <v/>
      </c>
      <c r="I237" s="14" t="s">
        <v>42</v>
      </c>
      <c r="J237" s="14" t="s">
        <v>43</v>
      </c>
      <c r="K237" s="14"/>
    </row>
    <row r="238" spans="1:11" x14ac:dyDescent="0.3">
      <c r="A238" s="13"/>
      <c r="B238" s="14" t="str">
        <f t="shared" si="6"/>
        <v/>
      </c>
      <c r="C238" s="14"/>
      <c r="D238" s="14"/>
      <c r="E238" s="14" t="str">
        <f>IF(D238="","",IFERROR(INDEX(tblProductos[CATEGORIA],MATCH(D238,tblProductos[ITEM],0)),""))</f>
        <v/>
      </c>
      <c r="F238" s="15"/>
      <c r="G238" s="16" t="str">
        <f>IF(D238="","",IFERROR(INDEX(tblProductos[COSTO TOTAL],MATCH(D238,tblProductos[ITEM],0)),""))</f>
        <v/>
      </c>
      <c r="H238" s="16" t="str">
        <f t="shared" si="7"/>
        <v/>
      </c>
      <c r="I238" s="14" t="s">
        <v>42</v>
      </c>
      <c r="J238" s="14" t="s">
        <v>43</v>
      </c>
      <c r="K238" s="14"/>
    </row>
    <row r="239" spans="1:11" x14ac:dyDescent="0.3">
      <c r="A239" s="13"/>
      <c r="B239" s="14" t="str">
        <f t="shared" si="6"/>
        <v/>
      </c>
      <c r="C239" s="14"/>
      <c r="D239" s="14"/>
      <c r="E239" s="14" t="str">
        <f>IF(D239="","",IFERROR(INDEX(tblProductos[CATEGORIA],MATCH(D239,tblProductos[ITEM],0)),""))</f>
        <v/>
      </c>
      <c r="F239" s="15"/>
      <c r="G239" s="16" t="str">
        <f>IF(D239="","",IFERROR(INDEX(tblProductos[COSTO TOTAL],MATCH(D239,tblProductos[ITEM],0)),""))</f>
        <v/>
      </c>
      <c r="H239" s="16" t="str">
        <f t="shared" si="7"/>
        <v/>
      </c>
      <c r="I239" s="14" t="s">
        <v>42</v>
      </c>
      <c r="J239" s="14" t="s">
        <v>43</v>
      </c>
      <c r="K239" s="14"/>
    </row>
    <row r="240" spans="1:11" x14ac:dyDescent="0.3">
      <c r="A240" s="13"/>
      <c r="B240" s="14" t="str">
        <f t="shared" si="6"/>
        <v/>
      </c>
      <c r="C240" s="14"/>
      <c r="D240" s="14"/>
      <c r="E240" s="14" t="str">
        <f>IF(D240="","",IFERROR(INDEX(tblProductos[CATEGORIA],MATCH(D240,tblProductos[ITEM],0)),""))</f>
        <v/>
      </c>
      <c r="F240" s="15"/>
      <c r="G240" s="16" t="str">
        <f>IF(D240="","",IFERROR(INDEX(tblProductos[COSTO TOTAL],MATCH(D240,tblProductos[ITEM],0)),""))</f>
        <v/>
      </c>
      <c r="H240" s="16" t="str">
        <f t="shared" si="7"/>
        <v/>
      </c>
      <c r="I240" s="14" t="s">
        <v>42</v>
      </c>
      <c r="J240" s="14" t="s">
        <v>43</v>
      </c>
      <c r="K240" s="14"/>
    </row>
    <row r="241" spans="1:11" x14ac:dyDescent="0.3">
      <c r="A241" s="13"/>
      <c r="B241" s="14" t="str">
        <f t="shared" si="6"/>
        <v/>
      </c>
      <c r="C241" s="14"/>
      <c r="D241" s="14"/>
      <c r="E241" s="14" t="str">
        <f>IF(D241="","",IFERROR(INDEX(tblProductos[CATEGORIA],MATCH(D241,tblProductos[ITEM],0)),""))</f>
        <v/>
      </c>
      <c r="F241" s="15"/>
      <c r="G241" s="16" t="str">
        <f>IF(D241="","",IFERROR(INDEX(tblProductos[COSTO TOTAL],MATCH(D241,tblProductos[ITEM],0)),""))</f>
        <v/>
      </c>
      <c r="H241" s="16" t="str">
        <f t="shared" si="7"/>
        <v/>
      </c>
      <c r="I241" s="14" t="s">
        <v>42</v>
      </c>
      <c r="J241" s="14" t="s">
        <v>43</v>
      </c>
      <c r="K241" s="14"/>
    </row>
    <row r="242" spans="1:11" x14ac:dyDescent="0.3">
      <c r="A242" s="13"/>
      <c r="B242" s="14" t="str">
        <f t="shared" si="6"/>
        <v/>
      </c>
      <c r="C242" s="14"/>
      <c r="D242" s="14"/>
      <c r="E242" s="14" t="str">
        <f>IF(D242="","",IFERROR(INDEX(tblProductos[CATEGORIA],MATCH(D242,tblProductos[ITEM],0)),""))</f>
        <v/>
      </c>
      <c r="F242" s="15"/>
      <c r="G242" s="16" t="str">
        <f>IF(D242="","",IFERROR(INDEX(tblProductos[COSTO TOTAL],MATCH(D242,tblProductos[ITEM],0)),""))</f>
        <v/>
      </c>
      <c r="H242" s="16" t="str">
        <f t="shared" si="7"/>
        <v/>
      </c>
      <c r="I242" s="14" t="s">
        <v>42</v>
      </c>
      <c r="J242" s="14" t="s">
        <v>43</v>
      </c>
      <c r="K242" s="14"/>
    </row>
    <row r="243" spans="1:11" x14ac:dyDescent="0.3">
      <c r="A243" s="13"/>
      <c r="B243" s="14" t="str">
        <f t="shared" si="6"/>
        <v/>
      </c>
      <c r="C243" s="14"/>
      <c r="D243" s="14"/>
      <c r="E243" s="14" t="str">
        <f>IF(D243="","",IFERROR(INDEX(tblProductos[CATEGORIA],MATCH(D243,tblProductos[ITEM],0)),""))</f>
        <v/>
      </c>
      <c r="F243" s="15"/>
      <c r="G243" s="16" t="str">
        <f>IF(D243="","",IFERROR(INDEX(tblProductos[COSTO TOTAL],MATCH(D243,tblProductos[ITEM],0)),""))</f>
        <v/>
      </c>
      <c r="H243" s="16" t="str">
        <f t="shared" si="7"/>
        <v/>
      </c>
      <c r="I243" s="14" t="s">
        <v>42</v>
      </c>
      <c r="J243" s="14" t="s">
        <v>43</v>
      </c>
      <c r="K243" s="14"/>
    </row>
    <row r="244" spans="1:11" x14ac:dyDescent="0.3">
      <c r="A244" s="13"/>
      <c r="B244" s="14" t="str">
        <f t="shared" si="6"/>
        <v/>
      </c>
      <c r="C244" s="14"/>
      <c r="D244" s="14"/>
      <c r="E244" s="14" t="str">
        <f>IF(D244="","",IFERROR(INDEX(tblProductos[CATEGORIA],MATCH(D244,tblProductos[ITEM],0)),""))</f>
        <v/>
      </c>
      <c r="F244" s="15"/>
      <c r="G244" s="16" t="str">
        <f>IF(D244="","",IFERROR(INDEX(tblProductos[COSTO TOTAL],MATCH(D244,tblProductos[ITEM],0)),""))</f>
        <v/>
      </c>
      <c r="H244" s="16" t="str">
        <f t="shared" si="7"/>
        <v/>
      </c>
      <c r="I244" s="14" t="s">
        <v>42</v>
      </c>
      <c r="J244" s="14" t="s">
        <v>43</v>
      </c>
      <c r="K244" s="14"/>
    </row>
    <row r="245" spans="1:11" x14ac:dyDescent="0.3">
      <c r="A245" s="13"/>
      <c r="B245" s="14" t="str">
        <f t="shared" si="6"/>
        <v/>
      </c>
      <c r="C245" s="14"/>
      <c r="D245" s="14"/>
      <c r="E245" s="14" t="str">
        <f>IF(D245="","",IFERROR(INDEX(tblProductos[CATEGORIA],MATCH(D245,tblProductos[ITEM],0)),""))</f>
        <v/>
      </c>
      <c r="F245" s="15"/>
      <c r="G245" s="16" t="str">
        <f>IF(D245="","",IFERROR(INDEX(tblProductos[COSTO TOTAL],MATCH(D245,tblProductos[ITEM],0)),""))</f>
        <v/>
      </c>
      <c r="H245" s="16" t="str">
        <f t="shared" si="7"/>
        <v/>
      </c>
      <c r="I245" s="14" t="s">
        <v>42</v>
      </c>
      <c r="J245" s="14" t="s">
        <v>43</v>
      </c>
      <c r="K245" s="14"/>
    </row>
    <row r="246" spans="1:11" x14ac:dyDescent="0.3">
      <c r="A246" s="13"/>
      <c r="B246" s="14" t="str">
        <f t="shared" si="6"/>
        <v/>
      </c>
      <c r="C246" s="14"/>
      <c r="D246" s="14"/>
      <c r="E246" s="14" t="str">
        <f>IF(D246="","",IFERROR(INDEX(tblProductos[CATEGORIA],MATCH(D246,tblProductos[ITEM],0)),""))</f>
        <v/>
      </c>
      <c r="F246" s="15"/>
      <c r="G246" s="16" t="str">
        <f>IF(D246="","",IFERROR(INDEX(tblProductos[COSTO TOTAL],MATCH(D246,tblProductos[ITEM],0)),""))</f>
        <v/>
      </c>
      <c r="H246" s="16" t="str">
        <f t="shared" si="7"/>
        <v/>
      </c>
      <c r="I246" s="14" t="s">
        <v>42</v>
      </c>
      <c r="J246" s="14" t="s">
        <v>43</v>
      </c>
      <c r="K246" s="14"/>
    </row>
    <row r="247" spans="1:11" x14ac:dyDescent="0.3">
      <c r="A247" s="13"/>
      <c r="B247" s="14" t="str">
        <f t="shared" si="6"/>
        <v/>
      </c>
      <c r="C247" s="14"/>
      <c r="D247" s="14"/>
      <c r="E247" s="14" t="str">
        <f>IF(D247="","",IFERROR(INDEX(tblProductos[CATEGORIA],MATCH(D247,tblProductos[ITEM],0)),""))</f>
        <v/>
      </c>
      <c r="F247" s="15"/>
      <c r="G247" s="16" t="str">
        <f>IF(D247="","",IFERROR(INDEX(tblProductos[COSTO TOTAL],MATCH(D247,tblProductos[ITEM],0)),""))</f>
        <v/>
      </c>
      <c r="H247" s="16" t="str">
        <f t="shared" si="7"/>
        <v/>
      </c>
      <c r="I247" s="14" t="s">
        <v>42</v>
      </c>
      <c r="J247" s="14" t="s">
        <v>43</v>
      </c>
      <c r="K247" s="14"/>
    </row>
    <row r="248" spans="1:11" x14ac:dyDescent="0.3">
      <c r="A248" s="13"/>
      <c r="B248" s="14" t="str">
        <f t="shared" si="6"/>
        <v/>
      </c>
      <c r="C248" s="14"/>
      <c r="D248" s="14"/>
      <c r="E248" s="14" t="str">
        <f>IF(D248="","",IFERROR(INDEX(tblProductos[CATEGORIA],MATCH(D248,tblProductos[ITEM],0)),""))</f>
        <v/>
      </c>
      <c r="F248" s="15"/>
      <c r="G248" s="16" t="str">
        <f>IF(D248="","",IFERROR(INDEX(tblProductos[COSTO TOTAL],MATCH(D248,tblProductos[ITEM],0)),""))</f>
        <v/>
      </c>
      <c r="H248" s="16" t="str">
        <f t="shared" si="7"/>
        <v/>
      </c>
      <c r="I248" s="14" t="s">
        <v>42</v>
      </c>
      <c r="J248" s="14" t="s">
        <v>43</v>
      </c>
      <c r="K248" s="14"/>
    </row>
    <row r="249" spans="1:11" x14ac:dyDescent="0.3">
      <c r="A249" s="13"/>
      <c r="B249" s="14" t="str">
        <f t="shared" si="6"/>
        <v/>
      </c>
      <c r="C249" s="14"/>
      <c r="D249" s="14"/>
      <c r="E249" s="14" t="str">
        <f>IF(D249="","",IFERROR(INDEX(tblProductos[CATEGORIA],MATCH(D249,tblProductos[ITEM],0)),""))</f>
        <v/>
      </c>
      <c r="F249" s="15"/>
      <c r="G249" s="16" t="str">
        <f>IF(D249="","",IFERROR(INDEX(tblProductos[COSTO TOTAL],MATCH(D249,tblProductos[ITEM],0)),""))</f>
        <v/>
      </c>
      <c r="H249" s="16" t="str">
        <f t="shared" si="7"/>
        <v/>
      </c>
      <c r="I249" s="14" t="s">
        <v>42</v>
      </c>
      <c r="J249" s="14" t="s">
        <v>43</v>
      </c>
      <c r="K249" s="14"/>
    </row>
    <row r="250" spans="1:11" x14ac:dyDescent="0.3">
      <c r="A250" s="13"/>
      <c r="B250" s="14" t="str">
        <f t="shared" si="6"/>
        <v/>
      </c>
      <c r="C250" s="14"/>
      <c r="D250" s="14"/>
      <c r="E250" s="14" t="str">
        <f>IF(D250="","",IFERROR(INDEX(tblProductos[CATEGORIA],MATCH(D250,tblProductos[ITEM],0)),""))</f>
        <v/>
      </c>
      <c r="F250" s="15"/>
      <c r="G250" s="16" t="str">
        <f>IF(D250="","",IFERROR(INDEX(tblProductos[COSTO TOTAL],MATCH(D250,tblProductos[ITEM],0)),""))</f>
        <v/>
      </c>
      <c r="H250" s="16" t="str">
        <f t="shared" si="7"/>
        <v/>
      </c>
      <c r="I250" s="14" t="s">
        <v>42</v>
      </c>
      <c r="J250" s="14" t="s">
        <v>43</v>
      </c>
      <c r="K250" s="14"/>
    </row>
    <row r="251" spans="1:11" x14ac:dyDescent="0.3">
      <c r="A251" s="13"/>
      <c r="B251" s="14" t="str">
        <f t="shared" si="6"/>
        <v/>
      </c>
      <c r="C251" s="14"/>
      <c r="D251" s="14"/>
      <c r="E251" s="14" t="str">
        <f>IF(D251="","",IFERROR(INDEX(tblProductos[CATEGORIA],MATCH(D251,tblProductos[ITEM],0)),""))</f>
        <v/>
      </c>
      <c r="F251" s="15"/>
      <c r="G251" s="16" t="str">
        <f>IF(D251="","",IFERROR(INDEX(tblProductos[COSTO TOTAL],MATCH(D251,tblProductos[ITEM],0)),""))</f>
        <v/>
      </c>
      <c r="H251" s="16" t="str">
        <f t="shared" si="7"/>
        <v/>
      </c>
      <c r="I251" s="14" t="s">
        <v>42</v>
      </c>
      <c r="J251" s="14" t="s">
        <v>43</v>
      </c>
      <c r="K251" s="14"/>
    </row>
    <row r="252" spans="1:11" x14ac:dyDescent="0.3">
      <c r="A252" s="13"/>
      <c r="B252" s="14" t="str">
        <f t="shared" si="6"/>
        <v/>
      </c>
      <c r="C252" s="14"/>
      <c r="D252" s="14"/>
      <c r="E252" s="14" t="str">
        <f>IF(D252="","",IFERROR(INDEX(tblProductos[CATEGORIA],MATCH(D252,tblProductos[ITEM],0)),""))</f>
        <v/>
      </c>
      <c r="F252" s="15"/>
      <c r="G252" s="16" t="str">
        <f>IF(D252="","",IFERROR(INDEX(tblProductos[COSTO TOTAL],MATCH(D252,tblProductos[ITEM],0)),""))</f>
        <v/>
      </c>
      <c r="H252" s="16" t="str">
        <f t="shared" si="7"/>
        <v/>
      </c>
      <c r="I252" s="14" t="s">
        <v>42</v>
      </c>
      <c r="J252" s="14" t="s">
        <v>43</v>
      </c>
      <c r="K252" s="14"/>
    </row>
    <row r="253" spans="1:11" x14ac:dyDescent="0.3">
      <c r="A253" s="13"/>
      <c r="B253" s="14" t="str">
        <f t="shared" si="6"/>
        <v/>
      </c>
      <c r="C253" s="14"/>
      <c r="D253" s="14"/>
      <c r="E253" s="14" t="str">
        <f>IF(D253="","",IFERROR(INDEX(tblProductos[CATEGORIA],MATCH(D253,tblProductos[ITEM],0)),""))</f>
        <v/>
      </c>
      <c r="F253" s="15"/>
      <c r="G253" s="16" t="str">
        <f>IF(D253="","",IFERROR(INDEX(tblProductos[COSTO TOTAL],MATCH(D253,tblProductos[ITEM],0)),""))</f>
        <v/>
      </c>
      <c r="H253" s="16" t="str">
        <f t="shared" si="7"/>
        <v/>
      </c>
      <c r="I253" s="14" t="s">
        <v>42</v>
      </c>
      <c r="J253" s="14" t="s">
        <v>43</v>
      </c>
      <c r="K253" s="14"/>
    </row>
    <row r="254" spans="1:11" x14ac:dyDescent="0.3">
      <c r="A254" s="13"/>
      <c r="B254" s="14" t="str">
        <f t="shared" si="6"/>
        <v/>
      </c>
      <c r="C254" s="14"/>
      <c r="D254" s="14"/>
      <c r="E254" s="14" t="str">
        <f>IF(D254="","",IFERROR(INDEX(tblProductos[CATEGORIA],MATCH(D254,tblProductos[ITEM],0)),""))</f>
        <v/>
      </c>
      <c r="F254" s="15"/>
      <c r="G254" s="16" t="str">
        <f>IF(D254="","",IFERROR(INDEX(tblProductos[COSTO TOTAL],MATCH(D254,tblProductos[ITEM],0)),""))</f>
        <v/>
      </c>
      <c r="H254" s="16" t="str">
        <f t="shared" si="7"/>
        <v/>
      </c>
      <c r="I254" s="14" t="s">
        <v>42</v>
      </c>
      <c r="J254" s="14" t="s">
        <v>43</v>
      </c>
      <c r="K254" s="14"/>
    </row>
    <row r="255" spans="1:11" x14ac:dyDescent="0.3">
      <c r="A255" s="13"/>
      <c r="B255" s="14" t="str">
        <f t="shared" si="6"/>
        <v/>
      </c>
      <c r="C255" s="14"/>
      <c r="D255" s="14"/>
      <c r="E255" s="14" t="str">
        <f>IF(D255="","",IFERROR(INDEX(tblProductos[CATEGORIA],MATCH(D255,tblProductos[ITEM],0)),""))</f>
        <v/>
      </c>
      <c r="F255" s="15"/>
      <c r="G255" s="16" t="str">
        <f>IF(D255="","",IFERROR(INDEX(tblProductos[COSTO TOTAL],MATCH(D255,tblProductos[ITEM],0)),""))</f>
        <v/>
      </c>
      <c r="H255" s="16" t="str">
        <f t="shared" si="7"/>
        <v/>
      </c>
      <c r="I255" s="14" t="s">
        <v>42</v>
      </c>
      <c r="J255" s="14" t="s">
        <v>43</v>
      </c>
      <c r="K255" s="14"/>
    </row>
    <row r="256" spans="1:11" x14ac:dyDescent="0.3">
      <c r="A256" s="13"/>
      <c r="B256" s="14" t="str">
        <f t="shared" si="6"/>
        <v/>
      </c>
      <c r="C256" s="14"/>
      <c r="D256" s="14"/>
      <c r="E256" s="14" t="str">
        <f>IF(D256="","",IFERROR(INDEX(tblProductos[CATEGORIA],MATCH(D256,tblProductos[ITEM],0)),""))</f>
        <v/>
      </c>
      <c r="F256" s="15"/>
      <c r="G256" s="16" t="str">
        <f>IF(D256="","",IFERROR(INDEX(tblProductos[COSTO TOTAL],MATCH(D256,tblProductos[ITEM],0)),""))</f>
        <v/>
      </c>
      <c r="H256" s="16" t="str">
        <f t="shared" si="7"/>
        <v/>
      </c>
      <c r="I256" s="14" t="s">
        <v>42</v>
      </c>
      <c r="J256" s="14" t="s">
        <v>43</v>
      </c>
      <c r="K256" s="14"/>
    </row>
    <row r="257" spans="1:11" x14ac:dyDescent="0.3">
      <c r="A257" s="13"/>
      <c r="B257" s="14" t="str">
        <f t="shared" si="6"/>
        <v/>
      </c>
      <c r="C257" s="14"/>
      <c r="D257" s="14"/>
      <c r="E257" s="14" t="str">
        <f>IF(D257="","",IFERROR(INDEX(tblProductos[CATEGORIA],MATCH(D257,tblProductos[ITEM],0)),""))</f>
        <v/>
      </c>
      <c r="F257" s="15"/>
      <c r="G257" s="16" t="str">
        <f>IF(D257="","",IFERROR(INDEX(tblProductos[COSTO TOTAL],MATCH(D257,tblProductos[ITEM],0)),""))</f>
        <v/>
      </c>
      <c r="H257" s="16" t="str">
        <f t="shared" si="7"/>
        <v/>
      </c>
      <c r="I257" s="14" t="s">
        <v>42</v>
      </c>
      <c r="J257" s="14" t="s">
        <v>43</v>
      </c>
      <c r="K257" s="14"/>
    </row>
    <row r="258" spans="1:11" x14ac:dyDescent="0.3">
      <c r="A258" s="13"/>
      <c r="B258" s="14" t="str">
        <f t="shared" ref="B258:B321" si="8">IF(A258="","", "C"&amp;TEXT(A258,"yymmdd")&amp;"-"&amp;TEXT(ROW()-1,"0000"))</f>
        <v/>
      </c>
      <c r="C258" s="14"/>
      <c r="D258" s="14"/>
      <c r="E258" s="14" t="str">
        <f>IF(D258="","",IFERROR(INDEX(tblProductos[CATEGORIA],MATCH(D258,tblProductos[ITEM],0)),""))</f>
        <v/>
      </c>
      <c r="F258" s="15"/>
      <c r="G258" s="16" t="str">
        <f>IF(D258="","",IFERROR(INDEX(tblProductos[COSTO TOTAL],MATCH(D258,tblProductos[ITEM],0)),""))</f>
        <v/>
      </c>
      <c r="H258" s="16" t="str">
        <f t="shared" ref="H258:H321" si="9">IF(F258="","",F258*G258)</f>
        <v/>
      </c>
      <c r="I258" s="14" t="s">
        <v>42</v>
      </c>
      <c r="J258" s="14" t="s">
        <v>43</v>
      </c>
      <c r="K258" s="14"/>
    </row>
    <row r="259" spans="1:11" x14ac:dyDescent="0.3">
      <c r="A259" s="13"/>
      <c r="B259" s="14" t="str">
        <f t="shared" si="8"/>
        <v/>
      </c>
      <c r="C259" s="14"/>
      <c r="D259" s="14"/>
      <c r="E259" s="14" t="str">
        <f>IF(D259="","",IFERROR(INDEX(tblProductos[CATEGORIA],MATCH(D259,tblProductos[ITEM],0)),""))</f>
        <v/>
      </c>
      <c r="F259" s="15"/>
      <c r="G259" s="16" t="str">
        <f>IF(D259="","",IFERROR(INDEX(tblProductos[COSTO TOTAL],MATCH(D259,tblProductos[ITEM],0)),""))</f>
        <v/>
      </c>
      <c r="H259" s="16" t="str">
        <f t="shared" si="9"/>
        <v/>
      </c>
      <c r="I259" s="14" t="s">
        <v>42</v>
      </c>
      <c r="J259" s="14" t="s">
        <v>43</v>
      </c>
      <c r="K259" s="14"/>
    </row>
    <row r="260" spans="1:11" x14ac:dyDescent="0.3">
      <c r="A260" s="13"/>
      <c r="B260" s="14" t="str">
        <f t="shared" si="8"/>
        <v/>
      </c>
      <c r="C260" s="14"/>
      <c r="D260" s="14"/>
      <c r="E260" s="14" t="str">
        <f>IF(D260="","",IFERROR(INDEX(tblProductos[CATEGORIA],MATCH(D260,tblProductos[ITEM],0)),""))</f>
        <v/>
      </c>
      <c r="F260" s="15"/>
      <c r="G260" s="16" t="str">
        <f>IF(D260="","",IFERROR(INDEX(tblProductos[COSTO TOTAL],MATCH(D260,tblProductos[ITEM],0)),""))</f>
        <v/>
      </c>
      <c r="H260" s="16" t="str">
        <f t="shared" si="9"/>
        <v/>
      </c>
      <c r="I260" s="14" t="s">
        <v>42</v>
      </c>
      <c r="J260" s="14" t="s">
        <v>43</v>
      </c>
      <c r="K260" s="14"/>
    </row>
    <row r="261" spans="1:11" x14ac:dyDescent="0.3">
      <c r="A261" s="13"/>
      <c r="B261" s="14" t="str">
        <f t="shared" si="8"/>
        <v/>
      </c>
      <c r="C261" s="14"/>
      <c r="D261" s="14"/>
      <c r="E261" s="14" t="str">
        <f>IF(D261="","",IFERROR(INDEX(tblProductos[CATEGORIA],MATCH(D261,tblProductos[ITEM],0)),""))</f>
        <v/>
      </c>
      <c r="F261" s="15"/>
      <c r="G261" s="16" t="str">
        <f>IF(D261="","",IFERROR(INDEX(tblProductos[COSTO TOTAL],MATCH(D261,tblProductos[ITEM],0)),""))</f>
        <v/>
      </c>
      <c r="H261" s="16" t="str">
        <f t="shared" si="9"/>
        <v/>
      </c>
      <c r="I261" s="14" t="s">
        <v>42</v>
      </c>
      <c r="J261" s="14" t="s">
        <v>43</v>
      </c>
      <c r="K261" s="14"/>
    </row>
    <row r="262" spans="1:11" x14ac:dyDescent="0.3">
      <c r="A262" s="13"/>
      <c r="B262" s="14" t="str">
        <f t="shared" si="8"/>
        <v/>
      </c>
      <c r="C262" s="14"/>
      <c r="D262" s="14"/>
      <c r="E262" s="14" t="str">
        <f>IF(D262="","",IFERROR(INDEX(tblProductos[CATEGORIA],MATCH(D262,tblProductos[ITEM],0)),""))</f>
        <v/>
      </c>
      <c r="F262" s="15"/>
      <c r="G262" s="16" t="str">
        <f>IF(D262="","",IFERROR(INDEX(tblProductos[COSTO TOTAL],MATCH(D262,tblProductos[ITEM],0)),""))</f>
        <v/>
      </c>
      <c r="H262" s="16" t="str">
        <f t="shared" si="9"/>
        <v/>
      </c>
      <c r="I262" s="14" t="s">
        <v>42</v>
      </c>
      <c r="J262" s="14" t="s">
        <v>43</v>
      </c>
      <c r="K262" s="14"/>
    </row>
    <row r="263" spans="1:11" x14ac:dyDescent="0.3">
      <c r="A263" s="13"/>
      <c r="B263" s="14" t="str">
        <f t="shared" si="8"/>
        <v/>
      </c>
      <c r="C263" s="14"/>
      <c r="D263" s="14"/>
      <c r="E263" s="14" t="str">
        <f>IF(D263="","",IFERROR(INDEX(tblProductos[CATEGORIA],MATCH(D263,tblProductos[ITEM],0)),""))</f>
        <v/>
      </c>
      <c r="F263" s="15"/>
      <c r="G263" s="16" t="str">
        <f>IF(D263="","",IFERROR(INDEX(tblProductos[COSTO TOTAL],MATCH(D263,tblProductos[ITEM],0)),""))</f>
        <v/>
      </c>
      <c r="H263" s="16" t="str">
        <f t="shared" si="9"/>
        <v/>
      </c>
      <c r="I263" s="14" t="s">
        <v>42</v>
      </c>
      <c r="J263" s="14" t="s">
        <v>43</v>
      </c>
      <c r="K263" s="14"/>
    </row>
    <row r="264" spans="1:11" x14ac:dyDescent="0.3">
      <c r="A264" s="13"/>
      <c r="B264" s="14" t="str">
        <f t="shared" si="8"/>
        <v/>
      </c>
      <c r="C264" s="14"/>
      <c r="D264" s="14"/>
      <c r="E264" s="14" t="str">
        <f>IF(D264="","",IFERROR(INDEX(tblProductos[CATEGORIA],MATCH(D264,tblProductos[ITEM],0)),""))</f>
        <v/>
      </c>
      <c r="F264" s="15"/>
      <c r="G264" s="16" t="str">
        <f>IF(D264="","",IFERROR(INDEX(tblProductos[COSTO TOTAL],MATCH(D264,tblProductos[ITEM],0)),""))</f>
        <v/>
      </c>
      <c r="H264" s="16" t="str">
        <f t="shared" si="9"/>
        <v/>
      </c>
      <c r="I264" s="14" t="s">
        <v>42</v>
      </c>
      <c r="J264" s="14" t="s">
        <v>43</v>
      </c>
      <c r="K264" s="14"/>
    </row>
    <row r="265" spans="1:11" x14ac:dyDescent="0.3">
      <c r="A265" s="13"/>
      <c r="B265" s="14" t="str">
        <f t="shared" si="8"/>
        <v/>
      </c>
      <c r="C265" s="14"/>
      <c r="D265" s="14"/>
      <c r="E265" s="14" t="str">
        <f>IF(D265="","",IFERROR(INDEX(tblProductos[CATEGORIA],MATCH(D265,tblProductos[ITEM],0)),""))</f>
        <v/>
      </c>
      <c r="F265" s="15"/>
      <c r="G265" s="16" t="str">
        <f>IF(D265="","",IFERROR(INDEX(tblProductos[COSTO TOTAL],MATCH(D265,tblProductos[ITEM],0)),""))</f>
        <v/>
      </c>
      <c r="H265" s="16" t="str">
        <f t="shared" si="9"/>
        <v/>
      </c>
      <c r="I265" s="14" t="s">
        <v>42</v>
      </c>
      <c r="J265" s="14" t="s">
        <v>43</v>
      </c>
      <c r="K265" s="14"/>
    </row>
    <row r="266" spans="1:11" x14ac:dyDescent="0.3">
      <c r="A266" s="13"/>
      <c r="B266" s="14" t="str">
        <f t="shared" si="8"/>
        <v/>
      </c>
      <c r="C266" s="14"/>
      <c r="D266" s="14"/>
      <c r="E266" s="14" t="str">
        <f>IF(D266="","",IFERROR(INDEX(tblProductos[CATEGORIA],MATCH(D266,tblProductos[ITEM],0)),""))</f>
        <v/>
      </c>
      <c r="F266" s="15"/>
      <c r="G266" s="16" t="str">
        <f>IF(D266="","",IFERROR(INDEX(tblProductos[COSTO TOTAL],MATCH(D266,tblProductos[ITEM],0)),""))</f>
        <v/>
      </c>
      <c r="H266" s="16" t="str">
        <f t="shared" si="9"/>
        <v/>
      </c>
      <c r="I266" s="14" t="s">
        <v>42</v>
      </c>
      <c r="J266" s="14" t="s">
        <v>43</v>
      </c>
      <c r="K266" s="14"/>
    </row>
    <row r="267" spans="1:11" x14ac:dyDescent="0.3">
      <c r="A267" s="13"/>
      <c r="B267" s="14" t="str">
        <f t="shared" si="8"/>
        <v/>
      </c>
      <c r="C267" s="14"/>
      <c r="D267" s="14"/>
      <c r="E267" s="14" t="str">
        <f>IF(D267="","",IFERROR(INDEX(tblProductos[CATEGORIA],MATCH(D267,tblProductos[ITEM],0)),""))</f>
        <v/>
      </c>
      <c r="F267" s="15"/>
      <c r="G267" s="16" t="str">
        <f>IF(D267="","",IFERROR(INDEX(tblProductos[COSTO TOTAL],MATCH(D267,tblProductos[ITEM],0)),""))</f>
        <v/>
      </c>
      <c r="H267" s="16" t="str">
        <f t="shared" si="9"/>
        <v/>
      </c>
      <c r="I267" s="14" t="s">
        <v>42</v>
      </c>
      <c r="J267" s="14" t="s">
        <v>43</v>
      </c>
      <c r="K267" s="14"/>
    </row>
    <row r="268" spans="1:11" x14ac:dyDescent="0.3">
      <c r="A268" s="13"/>
      <c r="B268" s="14" t="str">
        <f t="shared" si="8"/>
        <v/>
      </c>
      <c r="C268" s="14"/>
      <c r="D268" s="14"/>
      <c r="E268" s="14" t="str">
        <f>IF(D268="","",IFERROR(INDEX(tblProductos[CATEGORIA],MATCH(D268,tblProductos[ITEM],0)),""))</f>
        <v/>
      </c>
      <c r="F268" s="15"/>
      <c r="G268" s="16" t="str">
        <f>IF(D268="","",IFERROR(INDEX(tblProductos[COSTO TOTAL],MATCH(D268,tblProductos[ITEM],0)),""))</f>
        <v/>
      </c>
      <c r="H268" s="16" t="str">
        <f t="shared" si="9"/>
        <v/>
      </c>
      <c r="I268" s="14" t="s">
        <v>42</v>
      </c>
      <c r="J268" s="14" t="s">
        <v>43</v>
      </c>
      <c r="K268" s="14"/>
    </row>
    <row r="269" spans="1:11" x14ac:dyDescent="0.3">
      <c r="A269" s="13"/>
      <c r="B269" s="14" t="str">
        <f t="shared" si="8"/>
        <v/>
      </c>
      <c r="C269" s="14"/>
      <c r="D269" s="14"/>
      <c r="E269" s="14" t="str">
        <f>IF(D269="","",IFERROR(INDEX(tblProductos[CATEGORIA],MATCH(D269,tblProductos[ITEM],0)),""))</f>
        <v/>
      </c>
      <c r="F269" s="15"/>
      <c r="G269" s="16" t="str">
        <f>IF(D269="","",IFERROR(INDEX(tblProductos[COSTO TOTAL],MATCH(D269,tblProductos[ITEM],0)),""))</f>
        <v/>
      </c>
      <c r="H269" s="16" t="str">
        <f t="shared" si="9"/>
        <v/>
      </c>
      <c r="I269" s="14" t="s">
        <v>42</v>
      </c>
      <c r="J269" s="14" t="s">
        <v>43</v>
      </c>
      <c r="K269" s="14"/>
    </row>
    <row r="270" spans="1:11" x14ac:dyDescent="0.3">
      <c r="A270" s="13"/>
      <c r="B270" s="14" t="str">
        <f t="shared" si="8"/>
        <v/>
      </c>
      <c r="C270" s="14"/>
      <c r="D270" s="14"/>
      <c r="E270" s="14" t="str">
        <f>IF(D270="","",IFERROR(INDEX(tblProductos[CATEGORIA],MATCH(D270,tblProductos[ITEM],0)),""))</f>
        <v/>
      </c>
      <c r="F270" s="15"/>
      <c r="G270" s="16" t="str">
        <f>IF(D270="","",IFERROR(INDEX(tblProductos[COSTO TOTAL],MATCH(D270,tblProductos[ITEM],0)),""))</f>
        <v/>
      </c>
      <c r="H270" s="16" t="str">
        <f t="shared" si="9"/>
        <v/>
      </c>
      <c r="I270" s="14" t="s">
        <v>42</v>
      </c>
      <c r="J270" s="14" t="s">
        <v>43</v>
      </c>
      <c r="K270" s="14"/>
    </row>
    <row r="271" spans="1:11" x14ac:dyDescent="0.3">
      <c r="A271" s="13"/>
      <c r="B271" s="14" t="str">
        <f t="shared" si="8"/>
        <v/>
      </c>
      <c r="C271" s="14"/>
      <c r="D271" s="14"/>
      <c r="E271" s="14" t="str">
        <f>IF(D271="","",IFERROR(INDEX(tblProductos[CATEGORIA],MATCH(D271,tblProductos[ITEM],0)),""))</f>
        <v/>
      </c>
      <c r="F271" s="15"/>
      <c r="G271" s="16" t="str">
        <f>IF(D271="","",IFERROR(INDEX(tblProductos[COSTO TOTAL],MATCH(D271,tblProductos[ITEM],0)),""))</f>
        <v/>
      </c>
      <c r="H271" s="16" t="str">
        <f t="shared" si="9"/>
        <v/>
      </c>
      <c r="I271" s="14" t="s">
        <v>42</v>
      </c>
      <c r="J271" s="14" t="s">
        <v>43</v>
      </c>
      <c r="K271" s="14"/>
    </row>
    <row r="272" spans="1:11" x14ac:dyDescent="0.3">
      <c r="A272" s="13"/>
      <c r="B272" s="14" t="str">
        <f t="shared" si="8"/>
        <v/>
      </c>
      <c r="C272" s="14"/>
      <c r="D272" s="14"/>
      <c r="E272" s="14" t="str">
        <f>IF(D272="","",IFERROR(INDEX(tblProductos[CATEGORIA],MATCH(D272,tblProductos[ITEM],0)),""))</f>
        <v/>
      </c>
      <c r="F272" s="15"/>
      <c r="G272" s="16" t="str">
        <f>IF(D272="","",IFERROR(INDEX(tblProductos[COSTO TOTAL],MATCH(D272,tblProductos[ITEM],0)),""))</f>
        <v/>
      </c>
      <c r="H272" s="16" t="str">
        <f t="shared" si="9"/>
        <v/>
      </c>
      <c r="I272" s="14" t="s">
        <v>42</v>
      </c>
      <c r="J272" s="14" t="s">
        <v>43</v>
      </c>
      <c r="K272" s="14"/>
    </row>
    <row r="273" spans="1:11" x14ac:dyDescent="0.3">
      <c r="A273" s="13"/>
      <c r="B273" s="14" t="str">
        <f t="shared" si="8"/>
        <v/>
      </c>
      <c r="C273" s="14"/>
      <c r="D273" s="14"/>
      <c r="E273" s="14" t="str">
        <f>IF(D273="","",IFERROR(INDEX(tblProductos[CATEGORIA],MATCH(D273,tblProductos[ITEM],0)),""))</f>
        <v/>
      </c>
      <c r="F273" s="15"/>
      <c r="G273" s="16" t="str">
        <f>IF(D273="","",IFERROR(INDEX(tblProductos[COSTO TOTAL],MATCH(D273,tblProductos[ITEM],0)),""))</f>
        <v/>
      </c>
      <c r="H273" s="16" t="str">
        <f t="shared" si="9"/>
        <v/>
      </c>
      <c r="I273" s="14" t="s">
        <v>42</v>
      </c>
      <c r="J273" s="14" t="s">
        <v>43</v>
      </c>
      <c r="K273" s="14"/>
    </row>
    <row r="274" spans="1:11" x14ac:dyDescent="0.3">
      <c r="A274" s="13"/>
      <c r="B274" s="14" t="str">
        <f t="shared" si="8"/>
        <v/>
      </c>
      <c r="C274" s="14"/>
      <c r="D274" s="14"/>
      <c r="E274" s="14" t="str">
        <f>IF(D274="","",IFERROR(INDEX(tblProductos[CATEGORIA],MATCH(D274,tblProductos[ITEM],0)),""))</f>
        <v/>
      </c>
      <c r="F274" s="15"/>
      <c r="G274" s="16" t="str">
        <f>IF(D274="","",IFERROR(INDEX(tblProductos[COSTO TOTAL],MATCH(D274,tblProductos[ITEM],0)),""))</f>
        <v/>
      </c>
      <c r="H274" s="16" t="str">
        <f t="shared" si="9"/>
        <v/>
      </c>
      <c r="I274" s="14" t="s">
        <v>42</v>
      </c>
      <c r="J274" s="14" t="s">
        <v>43</v>
      </c>
      <c r="K274" s="14"/>
    </row>
    <row r="275" spans="1:11" x14ac:dyDescent="0.3">
      <c r="A275" s="13"/>
      <c r="B275" s="14" t="str">
        <f t="shared" si="8"/>
        <v/>
      </c>
      <c r="C275" s="14"/>
      <c r="D275" s="14"/>
      <c r="E275" s="14" t="str">
        <f>IF(D275="","",IFERROR(INDEX(tblProductos[CATEGORIA],MATCH(D275,tblProductos[ITEM],0)),""))</f>
        <v/>
      </c>
      <c r="F275" s="15"/>
      <c r="G275" s="16" t="str">
        <f>IF(D275="","",IFERROR(INDEX(tblProductos[COSTO TOTAL],MATCH(D275,tblProductos[ITEM],0)),""))</f>
        <v/>
      </c>
      <c r="H275" s="16" t="str">
        <f t="shared" si="9"/>
        <v/>
      </c>
      <c r="I275" s="14" t="s">
        <v>42</v>
      </c>
      <c r="J275" s="14" t="s">
        <v>43</v>
      </c>
      <c r="K275" s="14"/>
    </row>
    <row r="276" spans="1:11" x14ac:dyDescent="0.3">
      <c r="A276" s="13"/>
      <c r="B276" s="14" t="str">
        <f t="shared" si="8"/>
        <v/>
      </c>
      <c r="C276" s="14"/>
      <c r="D276" s="14"/>
      <c r="E276" s="14" t="str">
        <f>IF(D276="","",IFERROR(INDEX(tblProductos[CATEGORIA],MATCH(D276,tblProductos[ITEM],0)),""))</f>
        <v/>
      </c>
      <c r="F276" s="15"/>
      <c r="G276" s="16" t="str">
        <f>IF(D276="","",IFERROR(INDEX(tblProductos[COSTO TOTAL],MATCH(D276,tblProductos[ITEM],0)),""))</f>
        <v/>
      </c>
      <c r="H276" s="16" t="str">
        <f t="shared" si="9"/>
        <v/>
      </c>
      <c r="I276" s="14" t="s">
        <v>42</v>
      </c>
      <c r="J276" s="14" t="s">
        <v>43</v>
      </c>
      <c r="K276" s="14"/>
    </row>
    <row r="277" spans="1:11" x14ac:dyDescent="0.3">
      <c r="A277" s="13"/>
      <c r="B277" s="14" t="str">
        <f t="shared" si="8"/>
        <v/>
      </c>
      <c r="C277" s="14"/>
      <c r="D277" s="14"/>
      <c r="E277" s="14" t="str">
        <f>IF(D277="","",IFERROR(INDEX(tblProductos[CATEGORIA],MATCH(D277,tblProductos[ITEM],0)),""))</f>
        <v/>
      </c>
      <c r="F277" s="15"/>
      <c r="G277" s="16" t="str">
        <f>IF(D277="","",IFERROR(INDEX(tblProductos[COSTO TOTAL],MATCH(D277,tblProductos[ITEM],0)),""))</f>
        <v/>
      </c>
      <c r="H277" s="16" t="str">
        <f t="shared" si="9"/>
        <v/>
      </c>
      <c r="I277" s="14" t="s">
        <v>42</v>
      </c>
      <c r="J277" s="14" t="s">
        <v>43</v>
      </c>
      <c r="K277" s="14"/>
    </row>
    <row r="278" spans="1:11" x14ac:dyDescent="0.3">
      <c r="A278" s="13"/>
      <c r="B278" s="14" t="str">
        <f t="shared" si="8"/>
        <v/>
      </c>
      <c r="C278" s="14"/>
      <c r="D278" s="14"/>
      <c r="E278" s="14" t="str">
        <f>IF(D278="","",IFERROR(INDEX(tblProductos[CATEGORIA],MATCH(D278,tblProductos[ITEM],0)),""))</f>
        <v/>
      </c>
      <c r="F278" s="15"/>
      <c r="G278" s="16" t="str">
        <f>IF(D278="","",IFERROR(INDEX(tblProductos[COSTO TOTAL],MATCH(D278,tblProductos[ITEM],0)),""))</f>
        <v/>
      </c>
      <c r="H278" s="16" t="str">
        <f t="shared" si="9"/>
        <v/>
      </c>
      <c r="I278" s="14" t="s">
        <v>42</v>
      </c>
      <c r="J278" s="14" t="s">
        <v>43</v>
      </c>
      <c r="K278" s="14"/>
    </row>
    <row r="279" spans="1:11" x14ac:dyDescent="0.3">
      <c r="A279" s="13"/>
      <c r="B279" s="14" t="str">
        <f t="shared" si="8"/>
        <v/>
      </c>
      <c r="C279" s="14"/>
      <c r="D279" s="14"/>
      <c r="E279" s="14" t="str">
        <f>IF(D279="","",IFERROR(INDEX(tblProductos[CATEGORIA],MATCH(D279,tblProductos[ITEM],0)),""))</f>
        <v/>
      </c>
      <c r="F279" s="15"/>
      <c r="G279" s="16" t="str">
        <f>IF(D279="","",IFERROR(INDEX(tblProductos[COSTO TOTAL],MATCH(D279,tblProductos[ITEM],0)),""))</f>
        <v/>
      </c>
      <c r="H279" s="16" t="str">
        <f t="shared" si="9"/>
        <v/>
      </c>
      <c r="I279" s="14" t="s">
        <v>42</v>
      </c>
      <c r="J279" s="14" t="s">
        <v>43</v>
      </c>
      <c r="K279" s="14"/>
    </row>
    <row r="280" spans="1:11" x14ac:dyDescent="0.3">
      <c r="A280" s="13"/>
      <c r="B280" s="14" t="str">
        <f t="shared" si="8"/>
        <v/>
      </c>
      <c r="C280" s="14"/>
      <c r="D280" s="14"/>
      <c r="E280" s="14" t="str">
        <f>IF(D280="","",IFERROR(INDEX(tblProductos[CATEGORIA],MATCH(D280,tblProductos[ITEM],0)),""))</f>
        <v/>
      </c>
      <c r="F280" s="15"/>
      <c r="G280" s="16" t="str">
        <f>IF(D280="","",IFERROR(INDEX(tblProductos[COSTO TOTAL],MATCH(D280,tblProductos[ITEM],0)),""))</f>
        <v/>
      </c>
      <c r="H280" s="16" t="str">
        <f t="shared" si="9"/>
        <v/>
      </c>
      <c r="I280" s="14" t="s">
        <v>42</v>
      </c>
      <c r="J280" s="14" t="s">
        <v>43</v>
      </c>
      <c r="K280" s="14"/>
    </row>
    <row r="281" spans="1:11" x14ac:dyDescent="0.3">
      <c r="A281" s="13"/>
      <c r="B281" s="14" t="str">
        <f t="shared" si="8"/>
        <v/>
      </c>
      <c r="C281" s="14"/>
      <c r="D281" s="14"/>
      <c r="E281" s="14" t="str">
        <f>IF(D281="","",IFERROR(INDEX(tblProductos[CATEGORIA],MATCH(D281,tblProductos[ITEM],0)),""))</f>
        <v/>
      </c>
      <c r="F281" s="15"/>
      <c r="G281" s="16" t="str">
        <f>IF(D281="","",IFERROR(INDEX(tblProductos[COSTO TOTAL],MATCH(D281,tblProductos[ITEM],0)),""))</f>
        <v/>
      </c>
      <c r="H281" s="16" t="str">
        <f t="shared" si="9"/>
        <v/>
      </c>
      <c r="I281" s="14" t="s">
        <v>42</v>
      </c>
      <c r="J281" s="14" t="s">
        <v>43</v>
      </c>
      <c r="K281" s="14"/>
    </row>
    <row r="282" spans="1:11" x14ac:dyDescent="0.3">
      <c r="A282" s="13"/>
      <c r="B282" s="14" t="str">
        <f t="shared" si="8"/>
        <v/>
      </c>
      <c r="C282" s="14"/>
      <c r="D282" s="14"/>
      <c r="E282" s="14" t="str">
        <f>IF(D282="","",IFERROR(INDEX(tblProductos[CATEGORIA],MATCH(D282,tblProductos[ITEM],0)),""))</f>
        <v/>
      </c>
      <c r="F282" s="15"/>
      <c r="G282" s="16" t="str">
        <f>IF(D282="","",IFERROR(INDEX(tblProductos[COSTO TOTAL],MATCH(D282,tblProductos[ITEM],0)),""))</f>
        <v/>
      </c>
      <c r="H282" s="16" t="str">
        <f t="shared" si="9"/>
        <v/>
      </c>
      <c r="I282" s="14" t="s">
        <v>42</v>
      </c>
      <c r="J282" s="14" t="s">
        <v>43</v>
      </c>
      <c r="K282" s="14"/>
    </row>
    <row r="283" spans="1:11" x14ac:dyDescent="0.3">
      <c r="A283" s="13"/>
      <c r="B283" s="14" t="str">
        <f t="shared" si="8"/>
        <v/>
      </c>
      <c r="C283" s="14"/>
      <c r="D283" s="14"/>
      <c r="E283" s="14" t="str">
        <f>IF(D283="","",IFERROR(INDEX(tblProductos[CATEGORIA],MATCH(D283,tblProductos[ITEM],0)),""))</f>
        <v/>
      </c>
      <c r="F283" s="15"/>
      <c r="G283" s="16" t="str">
        <f>IF(D283="","",IFERROR(INDEX(tblProductos[COSTO TOTAL],MATCH(D283,tblProductos[ITEM],0)),""))</f>
        <v/>
      </c>
      <c r="H283" s="16" t="str">
        <f t="shared" si="9"/>
        <v/>
      </c>
      <c r="I283" s="14" t="s">
        <v>42</v>
      </c>
      <c r="J283" s="14" t="s">
        <v>43</v>
      </c>
      <c r="K283" s="14"/>
    </row>
    <row r="284" spans="1:11" x14ac:dyDescent="0.3">
      <c r="A284" s="13"/>
      <c r="B284" s="14" t="str">
        <f t="shared" si="8"/>
        <v/>
      </c>
      <c r="C284" s="14"/>
      <c r="D284" s="14"/>
      <c r="E284" s="14" t="str">
        <f>IF(D284="","",IFERROR(INDEX(tblProductos[CATEGORIA],MATCH(D284,tblProductos[ITEM],0)),""))</f>
        <v/>
      </c>
      <c r="F284" s="15"/>
      <c r="G284" s="16" t="str">
        <f>IF(D284="","",IFERROR(INDEX(tblProductos[COSTO TOTAL],MATCH(D284,tblProductos[ITEM],0)),""))</f>
        <v/>
      </c>
      <c r="H284" s="16" t="str">
        <f t="shared" si="9"/>
        <v/>
      </c>
      <c r="I284" s="14" t="s">
        <v>42</v>
      </c>
      <c r="J284" s="14" t="s">
        <v>43</v>
      </c>
      <c r="K284" s="14"/>
    </row>
    <row r="285" spans="1:11" x14ac:dyDescent="0.3">
      <c r="A285" s="13"/>
      <c r="B285" s="14" t="str">
        <f t="shared" si="8"/>
        <v/>
      </c>
      <c r="C285" s="14"/>
      <c r="D285" s="14"/>
      <c r="E285" s="14" t="str">
        <f>IF(D285="","",IFERROR(INDEX(tblProductos[CATEGORIA],MATCH(D285,tblProductos[ITEM],0)),""))</f>
        <v/>
      </c>
      <c r="F285" s="15"/>
      <c r="G285" s="16" t="str">
        <f>IF(D285="","",IFERROR(INDEX(tblProductos[COSTO TOTAL],MATCH(D285,tblProductos[ITEM],0)),""))</f>
        <v/>
      </c>
      <c r="H285" s="16" t="str">
        <f t="shared" si="9"/>
        <v/>
      </c>
      <c r="I285" s="14" t="s">
        <v>42</v>
      </c>
      <c r="J285" s="14" t="s">
        <v>43</v>
      </c>
      <c r="K285" s="14"/>
    </row>
    <row r="286" spans="1:11" x14ac:dyDescent="0.3">
      <c r="A286" s="13"/>
      <c r="B286" s="14" t="str">
        <f t="shared" si="8"/>
        <v/>
      </c>
      <c r="C286" s="14"/>
      <c r="D286" s="14"/>
      <c r="E286" s="14" t="str">
        <f>IF(D286="","",IFERROR(INDEX(tblProductos[CATEGORIA],MATCH(D286,tblProductos[ITEM],0)),""))</f>
        <v/>
      </c>
      <c r="F286" s="15"/>
      <c r="G286" s="16" t="str">
        <f>IF(D286="","",IFERROR(INDEX(tblProductos[COSTO TOTAL],MATCH(D286,tblProductos[ITEM],0)),""))</f>
        <v/>
      </c>
      <c r="H286" s="16" t="str">
        <f t="shared" si="9"/>
        <v/>
      </c>
      <c r="I286" s="14" t="s">
        <v>42</v>
      </c>
      <c r="J286" s="14" t="s">
        <v>43</v>
      </c>
      <c r="K286" s="14"/>
    </row>
    <row r="287" spans="1:11" x14ac:dyDescent="0.3">
      <c r="A287" s="13"/>
      <c r="B287" s="14" t="str">
        <f t="shared" si="8"/>
        <v/>
      </c>
      <c r="C287" s="14"/>
      <c r="D287" s="14"/>
      <c r="E287" s="14" t="str">
        <f>IF(D287="","",IFERROR(INDEX(tblProductos[CATEGORIA],MATCH(D287,tblProductos[ITEM],0)),""))</f>
        <v/>
      </c>
      <c r="F287" s="15"/>
      <c r="G287" s="16" t="str">
        <f>IF(D287="","",IFERROR(INDEX(tblProductos[COSTO TOTAL],MATCH(D287,tblProductos[ITEM],0)),""))</f>
        <v/>
      </c>
      <c r="H287" s="16" t="str">
        <f t="shared" si="9"/>
        <v/>
      </c>
      <c r="I287" s="14" t="s">
        <v>42</v>
      </c>
      <c r="J287" s="14" t="s">
        <v>43</v>
      </c>
      <c r="K287" s="14"/>
    </row>
    <row r="288" spans="1:11" x14ac:dyDescent="0.3">
      <c r="A288" s="13"/>
      <c r="B288" s="14" t="str">
        <f t="shared" si="8"/>
        <v/>
      </c>
      <c r="C288" s="14"/>
      <c r="D288" s="14"/>
      <c r="E288" s="14" t="str">
        <f>IF(D288="","",IFERROR(INDEX(tblProductos[CATEGORIA],MATCH(D288,tblProductos[ITEM],0)),""))</f>
        <v/>
      </c>
      <c r="F288" s="15"/>
      <c r="G288" s="16" t="str">
        <f>IF(D288="","",IFERROR(INDEX(tblProductos[COSTO TOTAL],MATCH(D288,tblProductos[ITEM],0)),""))</f>
        <v/>
      </c>
      <c r="H288" s="16" t="str">
        <f t="shared" si="9"/>
        <v/>
      </c>
      <c r="I288" s="14" t="s">
        <v>42</v>
      </c>
      <c r="J288" s="14" t="s">
        <v>43</v>
      </c>
      <c r="K288" s="14"/>
    </row>
    <row r="289" spans="1:11" x14ac:dyDescent="0.3">
      <c r="A289" s="13"/>
      <c r="B289" s="14" t="str">
        <f t="shared" si="8"/>
        <v/>
      </c>
      <c r="C289" s="14"/>
      <c r="D289" s="14"/>
      <c r="E289" s="14" t="str">
        <f>IF(D289="","",IFERROR(INDEX(tblProductos[CATEGORIA],MATCH(D289,tblProductos[ITEM],0)),""))</f>
        <v/>
      </c>
      <c r="F289" s="15"/>
      <c r="G289" s="16" t="str">
        <f>IF(D289="","",IFERROR(INDEX(tblProductos[COSTO TOTAL],MATCH(D289,tblProductos[ITEM],0)),""))</f>
        <v/>
      </c>
      <c r="H289" s="16" t="str">
        <f t="shared" si="9"/>
        <v/>
      </c>
      <c r="I289" s="14" t="s">
        <v>42</v>
      </c>
      <c r="J289" s="14" t="s">
        <v>43</v>
      </c>
      <c r="K289" s="14"/>
    </row>
    <row r="290" spans="1:11" x14ac:dyDescent="0.3">
      <c r="A290" s="13"/>
      <c r="B290" s="14" t="str">
        <f t="shared" si="8"/>
        <v/>
      </c>
      <c r="C290" s="14"/>
      <c r="D290" s="14"/>
      <c r="E290" s="14" t="str">
        <f>IF(D290="","",IFERROR(INDEX(tblProductos[CATEGORIA],MATCH(D290,tblProductos[ITEM],0)),""))</f>
        <v/>
      </c>
      <c r="F290" s="15"/>
      <c r="G290" s="16" t="str">
        <f>IF(D290="","",IFERROR(INDEX(tblProductos[COSTO TOTAL],MATCH(D290,tblProductos[ITEM],0)),""))</f>
        <v/>
      </c>
      <c r="H290" s="16" t="str">
        <f t="shared" si="9"/>
        <v/>
      </c>
      <c r="I290" s="14" t="s">
        <v>42</v>
      </c>
      <c r="J290" s="14" t="s">
        <v>43</v>
      </c>
      <c r="K290" s="14"/>
    </row>
    <row r="291" spans="1:11" x14ac:dyDescent="0.3">
      <c r="A291" s="13"/>
      <c r="B291" s="14" t="str">
        <f t="shared" si="8"/>
        <v/>
      </c>
      <c r="C291" s="14"/>
      <c r="D291" s="14"/>
      <c r="E291" s="14" t="str">
        <f>IF(D291="","",IFERROR(INDEX(tblProductos[CATEGORIA],MATCH(D291,tblProductos[ITEM],0)),""))</f>
        <v/>
      </c>
      <c r="F291" s="15"/>
      <c r="G291" s="16" t="str">
        <f>IF(D291="","",IFERROR(INDEX(tblProductos[COSTO TOTAL],MATCH(D291,tblProductos[ITEM],0)),""))</f>
        <v/>
      </c>
      <c r="H291" s="16" t="str">
        <f t="shared" si="9"/>
        <v/>
      </c>
      <c r="I291" s="14" t="s">
        <v>42</v>
      </c>
      <c r="J291" s="14" t="s">
        <v>43</v>
      </c>
      <c r="K291" s="14"/>
    </row>
    <row r="292" spans="1:11" x14ac:dyDescent="0.3">
      <c r="A292" s="13"/>
      <c r="B292" s="14" t="str">
        <f t="shared" si="8"/>
        <v/>
      </c>
      <c r="C292" s="14"/>
      <c r="D292" s="14"/>
      <c r="E292" s="14" t="str">
        <f>IF(D292="","",IFERROR(INDEX(tblProductos[CATEGORIA],MATCH(D292,tblProductos[ITEM],0)),""))</f>
        <v/>
      </c>
      <c r="F292" s="15"/>
      <c r="G292" s="16" t="str">
        <f>IF(D292="","",IFERROR(INDEX(tblProductos[COSTO TOTAL],MATCH(D292,tblProductos[ITEM],0)),""))</f>
        <v/>
      </c>
      <c r="H292" s="16" t="str">
        <f t="shared" si="9"/>
        <v/>
      </c>
      <c r="I292" s="14" t="s">
        <v>42</v>
      </c>
      <c r="J292" s="14" t="s">
        <v>43</v>
      </c>
      <c r="K292" s="14"/>
    </row>
    <row r="293" spans="1:11" x14ac:dyDescent="0.3">
      <c r="A293" s="13"/>
      <c r="B293" s="14" t="str">
        <f t="shared" si="8"/>
        <v/>
      </c>
      <c r="C293" s="14"/>
      <c r="D293" s="14"/>
      <c r="E293" s="14" t="str">
        <f>IF(D293="","",IFERROR(INDEX(tblProductos[CATEGORIA],MATCH(D293,tblProductos[ITEM],0)),""))</f>
        <v/>
      </c>
      <c r="F293" s="15"/>
      <c r="G293" s="16" t="str">
        <f>IF(D293="","",IFERROR(INDEX(tblProductos[COSTO TOTAL],MATCH(D293,tblProductos[ITEM],0)),""))</f>
        <v/>
      </c>
      <c r="H293" s="16" t="str">
        <f t="shared" si="9"/>
        <v/>
      </c>
      <c r="I293" s="14" t="s">
        <v>42</v>
      </c>
      <c r="J293" s="14" t="s">
        <v>43</v>
      </c>
      <c r="K293" s="14"/>
    </row>
    <row r="294" spans="1:11" x14ac:dyDescent="0.3">
      <c r="A294" s="13"/>
      <c r="B294" s="14" t="str">
        <f t="shared" si="8"/>
        <v/>
      </c>
      <c r="C294" s="14"/>
      <c r="D294" s="14"/>
      <c r="E294" s="14" t="str">
        <f>IF(D294="","",IFERROR(INDEX(tblProductos[CATEGORIA],MATCH(D294,tblProductos[ITEM],0)),""))</f>
        <v/>
      </c>
      <c r="F294" s="15"/>
      <c r="G294" s="16" t="str">
        <f>IF(D294="","",IFERROR(INDEX(tblProductos[COSTO TOTAL],MATCH(D294,tblProductos[ITEM],0)),""))</f>
        <v/>
      </c>
      <c r="H294" s="16" t="str">
        <f t="shared" si="9"/>
        <v/>
      </c>
      <c r="I294" s="14" t="s">
        <v>42</v>
      </c>
      <c r="J294" s="14" t="s">
        <v>43</v>
      </c>
      <c r="K294" s="14"/>
    </row>
    <row r="295" spans="1:11" x14ac:dyDescent="0.3">
      <c r="A295" s="13"/>
      <c r="B295" s="14" t="str">
        <f t="shared" si="8"/>
        <v/>
      </c>
      <c r="C295" s="14"/>
      <c r="D295" s="14"/>
      <c r="E295" s="14" t="str">
        <f>IF(D295="","",IFERROR(INDEX(tblProductos[CATEGORIA],MATCH(D295,tblProductos[ITEM],0)),""))</f>
        <v/>
      </c>
      <c r="F295" s="15"/>
      <c r="G295" s="16" t="str">
        <f>IF(D295="","",IFERROR(INDEX(tblProductos[COSTO TOTAL],MATCH(D295,tblProductos[ITEM],0)),""))</f>
        <v/>
      </c>
      <c r="H295" s="16" t="str">
        <f t="shared" si="9"/>
        <v/>
      </c>
      <c r="I295" s="14" t="s">
        <v>42</v>
      </c>
      <c r="J295" s="14" t="s">
        <v>43</v>
      </c>
      <c r="K295" s="14"/>
    </row>
    <row r="296" spans="1:11" x14ac:dyDescent="0.3">
      <c r="A296" s="13"/>
      <c r="B296" s="14" t="str">
        <f t="shared" si="8"/>
        <v/>
      </c>
      <c r="C296" s="14"/>
      <c r="D296" s="14"/>
      <c r="E296" s="14" t="str">
        <f>IF(D296="","",IFERROR(INDEX(tblProductos[CATEGORIA],MATCH(D296,tblProductos[ITEM],0)),""))</f>
        <v/>
      </c>
      <c r="F296" s="15"/>
      <c r="G296" s="16" t="str">
        <f>IF(D296="","",IFERROR(INDEX(tblProductos[COSTO TOTAL],MATCH(D296,tblProductos[ITEM],0)),""))</f>
        <v/>
      </c>
      <c r="H296" s="16" t="str">
        <f t="shared" si="9"/>
        <v/>
      </c>
      <c r="I296" s="14" t="s">
        <v>42</v>
      </c>
      <c r="J296" s="14" t="s">
        <v>43</v>
      </c>
      <c r="K296" s="14"/>
    </row>
    <row r="297" spans="1:11" x14ac:dyDescent="0.3">
      <c r="A297" s="13"/>
      <c r="B297" s="14" t="str">
        <f t="shared" si="8"/>
        <v/>
      </c>
      <c r="C297" s="14"/>
      <c r="D297" s="14"/>
      <c r="E297" s="14" t="str">
        <f>IF(D297="","",IFERROR(INDEX(tblProductos[CATEGORIA],MATCH(D297,tblProductos[ITEM],0)),""))</f>
        <v/>
      </c>
      <c r="F297" s="15"/>
      <c r="G297" s="16" t="str">
        <f>IF(D297="","",IFERROR(INDEX(tblProductos[COSTO TOTAL],MATCH(D297,tblProductos[ITEM],0)),""))</f>
        <v/>
      </c>
      <c r="H297" s="16" t="str">
        <f t="shared" si="9"/>
        <v/>
      </c>
      <c r="I297" s="14" t="s">
        <v>42</v>
      </c>
      <c r="J297" s="14" t="s">
        <v>43</v>
      </c>
      <c r="K297" s="14"/>
    </row>
    <row r="298" spans="1:11" x14ac:dyDescent="0.3">
      <c r="A298" s="13"/>
      <c r="B298" s="14" t="str">
        <f t="shared" si="8"/>
        <v/>
      </c>
      <c r="C298" s="14"/>
      <c r="D298" s="14"/>
      <c r="E298" s="14" t="str">
        <f>IF(D298="","",IFERROR(INDEX(tblProductos[CATEGORIA],MATCH(D298,tblProductos[ITEM],0)),""))</f>
        <v/>
      </c>
      <c r="F298" s="15"/>
      <c r="G298" s="16" t="str">
        <f>IF(D298="","",IFERROR(INDEX(tblProductos[COSTO TOTAL],MATCH(D298,tblProductos[ITEM],0)),""))</f>
        <v/>
      </c>
      <c r="H298" s="16" t="str">
        <f t="shared" si="9"/>
        <v/>
      </c>
      <c r="I298" s="14" t="s">
        <v>42</v>
      </c>
      <c r="J298" s="14" t="s">
        <v>43</v>
      </c>
      <c r="K298" s="14"/>
    </row>
    <row r="299" spans="1:11" x14ac:dyDescent="0.3">
      <c r="A299" s="13"/>
      <c r="B299" s="14" t="str">
        <f t="shared" si="8"/>
        <v/>
      </c>
      <c r="C299" s="14"/>
      <c r="D299" s="14"/>
      <c r="E299" s="14" t="str">
        <f>IF(D299="","",IFERROR(INDEX(tblProductos[CATEGORIA],MATCH(D299,tblProductos[ITEM],0)),""))</f>
        <v/>
      </c>
      <c r="F299" s="15"/>
      <c r="G299" s="16" t="str">
        <f>IF(D299="","",IFERROR(INDEX(tblProductos[COSTO TOTAL],MATCH(D299,tblProductos[ITEM],0)),""))</f>
        <v/>
      </c>
      <c r="H299" s="16" t="str">
        <f t="shared" si="9"/>
        <v/>
      </c>
      <c r="I299" s="14" t="s">
        <v>42</v>
      </c>
      <c r="J299" s="14" t="s">
        <v>43</v>
      </c>
      <c r="K299" s="14"/>
    </row>
    <row r="300" spans="1:11" x14ac:dyDescent="0.3">
      <c r="A300" s="13"/>
      <c r="B300" s="14" t="str">
        <f t="shared" si="8"/>
        <v/>
      </c>
      <c r="C300" s="14"/>
      <c r="D300" s="14"/>
      <c r="E300" s="14" t="str">
        <f>IF(D300="","",IFERROR(INDEX(tblProductos[CATEGORIA],MATCH(D300,tblProductos[ITEM],0)),""))</f>
        <v/>
      </c>
      <c r="F300" s="15"/>
      <c r="G300" s="16" t="str">
        <f>IF(D300="","",IFERROR(INDEX(tblProductos[COSTO TOTAL],MATCH(D300,tblProductos[ITEM],0)),""))</f>
        <v/>
      </c>
      <c r="H300" s="16" t="str">
        <f t="shared" si="9"/>
        <v/>
      </c>
      <c r="I300" s="14" t="s">
        <v>42</v>
      </c>
      <c r="J300" s="14" t="s">
        <v>43</v>
      </c>
      <c r="K300" s="14"/>
    </row>
    <row r="301" spans="1:11" x14ac:dyDescent="0.3">
      <c r="A301" s="13"/>
      <c r="B301" s="14" t="str">
        <f t="shared" si="8"/>
        <v/>
      </c>
      <c r="C301" s="14"/>
      <c r="D301" s="14"/>
      <c r="E301" s="14" t="str">
        <f>IF(D301="","",IFERROR(INDEX(tblProductos[CATEGORIA],MATCH(D301,tblProductos[ITEM],0)),""))</f>
        <v/>
      </c>
      <c r="F301" s="15"/>
      <c r="G301" s="16" t="str">
        <f>IF(D301="","",IFERROR(INDEX(tblProductos[COSTO TOTAL],MATCH(D301,tblProductos[ITEM],0)),""))</f>
        <v/>
      </c>
      <c r="H301" s="16" t="str">
        <f t="shared" si="9"/>
        <v/>
      </c>
      <c r="I301" s="14" t="s">
        <v>42</v>
      </c>
      <c r="J301" s="14" t="s">
        <v>43</v>
      </c>
      <c r="K301" s="14"/>
    </row>
    <row r="302" spans="1:11" x14ac:dyDescent="0.3">
      <c r="A302" s="13"/>
      <c r="B302" s="14" t="str">
        <f t="shared" si="8"/>
        <v/>
      </c>
      <c r="C302" s="14"/>
      <c r="D302" s="14"/>
      <c r="E302" s="14" t="str">
        <f>IF(D302="","",IFERROR(INDEX(tblProductos[CATEGORIA],MATCH(D302,tblProductos[ITEM],0)),""))</f>
        <v/>
      </c>
      <c r="F302" s="15"/>
      <c r="G302" s="16" t="str">
        <f>IF(D302="","",IFERROR(INDEX(tblProductos[COSTO TOTAL],MATCH(D302,tblProductos[ITEM],0)),""))</f>
        <v/>
      </c>
      <c r="H302" s="16" t="str">
        <f t="shared" si="9"/>
        <v/>
      </c>
      <c r="I302" s="14" t="s">
        <v>42</v>
      </c>
      <c r="J302" s="14" t="s">
        <v>43</v>
      </c>
      <c r="K302" s="14"/>
    </row>
    <row r="303" spans="1:11" x14ac:dyDescent="0.3">
      <c r="A303" s="13"/>
      <c r="B303" s="14" t="str">
        <f t="shared" si="8"/>
        <v/>
      </c>
      <c r="C303" s="14"/>
      <c r="D303" s="14"/>
      <c r="E303" s="14" t="str">
        <f>IF(D303="","",IFERROR(INDEX(tblProductos[CATEGORIA],MATCH(D303,tblProductos[ITEM],0)),""))</f>
        <v/>
      </c>
      <c r="F303" s="15"/>
      <c r="G303" s="16" t="str">
        <f>IF(D303="","",IFERROR(INDEX(tblProductos[COSTO TOTAL],MATCH(D303,tblProductos[ITEM],0)),""))</f>
        <v/>
      </c>
      <c r="H303" s="16" t="str">
        <f t="shared" si="9"/>
        <v/>
      </c>
      <c r="I303" s="14" t="s">
        <v>42</v>
      </c>
      <c r="J303" s="14" t="s">
        <v>43</v>
      </c>
      <c r="K303" s="14"/>
    </row>
    <row r="304" spans="1:11" x14ac:dyDescent="0.3">
      <c r="A304" s="13"/>
      <c r="B304" s="14" t="str">
        <f t="shared" si="8"/>
        <v/>
      </c>
      <c r="C304" s="14"/>
      <c r="D304" s="14"/>
      <c r="E304" s="14" t="str">
        <f>IF(D304="","",IFERROR(INDEX(tblProductos[CATEGORIA],MATCH(D304,tblProductos[ITEM],0)),""))</f>
        <v/>
      </c>
      <c r="F304" s="15"/>
      <c r="G304" s="16" t="str">
        <f>IF(D304="","",IFERROR(INDEX(tblProductos[COSTO TOTAL],MATCH(D304,tblProductos[ITEM],0)),""))</f>
        <v/>
      </c>
      <c r="H304" s="16" t="str">
        <f t="shared" si="9"/>
        <v/>
      </c>
      <c r="I304" s="14" t="s">
        <v>42</v>
      </c>
      <c r="J304" s="14" t="s">
        <v>43</v>
      </c>
      <c r="K304" s="14"/>
    </row>
    <row r="305" spans="1:11" x14ac:dyDescent="0.3">
      <c r="A305" s="13"/>
      <c r="B305" s="14" t="str">
        <f t="shared" si="8"/>
        <v/>
      </c>
      <c r="C305" s="14"/>
      <c r="D305" s="14"/>
      <c r="E305" s="14" t="str">
        <f>IF(D305="","",IFERROR(INDEX(tblProductos[CATEGORIA],MATCH(D305,tblProductos[ITEM],0)),""))</f>
        <v/>
      </c>
      <c r="F305" s="15"/>
      <c r="G305" s="16" t="str">
        <f>IF(D305="","",IFERROR(INDEX(tblProductos[COSTO TOTAL],MATCH(D305,tblProductos[ITEM],0)),""))</f>
        <v/>
      </c>
      <c r="H305" s="16" t="str">
        <f t="shared" si="9"/>
        <v/>
      </c>
      <c r="I305" s="14" t="s">
        <v>42</v>
      </c>
      <c r="J305" s="14" t="s">
        <v>43</v>
      </c>
      <c r="K305" s="14"/>
    </row>
    <row r="306" spans="1:11" x14ac:dyDescent="0.3">
      <c r="A306" s="13"/>
      <c r="B306" s="14" t="str">
        <f t="shared" si="8"/>
        <v/>
      </c>
      <c r="C306" s="14"/>
      <c r="D306" s="14"/>
      <c r="E306" s="14" t="str">
        <f>IF(D306="","",IFERROR(INDEX(tblProductos[CATEGORIA],MATCH(D306,tblProductos[ITEM],0)),""))</f>
        <v/>
      </c>
      <c r="F306" s="15"/>
      <c r="G306" s="16" t="str">
        <f>IF(D306="","",IFERROR(INDEX(tblProductos[COSTO TOTAL],MATCH(D306,tblProductos[ITEM],0)),""))</f>
        <v/>
      </c>
      <c r="H306" s="16" t="str">
        <f t="shared" si="9"/>
        <v/>
      </c>
      <c r="I306" s="14" t="s">
        <v>42</v>
      </c>
      <c r="J306" s="14" t="s">
        <v>43</v>
      </c>
      <c r="K306" s="14"/>
    </row>
    <row r="307" spans="1:11" x14ac:dyDescent="0.3">
      <c r="A307" s="13"/>
      <c r="B307" s="14" t="str">
        <f t="shared" si="8"/>
        <v/>
      </c>
      <c r="C307" s="14"/>
      <c r="D307" s="14"/>
      <c r="E307" s="14" t="str">
        <f>IF(D307="","",IFERROR(INDEX(tblProductos[CATEGORIA],MATCH(D307,tblProductos[ITEM],0)),""))</f>
        <v/>
      </c>
      <c r="F307" s="15"/>
      <c r="G307" s="16" t="str">
        <f>IF(D307="","",IFERROR(INDEX(tblProductos[COSTO TOTAL],MATCH(D307,tblProductos[ITEM],0)),""))</f>
        <v/>
      </c>
      <c r="H307" s="16" t="str">
        <f t="shared" si="9"/>
        <v/>
      </c>
      <c r="I307" s="14" t="s">
        <v>42</v>
      </c>
      <c r="J307" s="14" t="s">
        <v>43</v>
      </c>
      <c r="K307" s="14"/>
    </row>
    <row r="308" spans="1:11" x14ac:dyDescent="0.3">
      <c r="A308" s="13"/>
      <c r="B308" s="14" t="str">
        <f t="shared" si="8"/>
        <v/>
      </c>
      <c r="C308" s="14"/>
      <c r="D308" s="14"/>
      <c r="E308" s="14" t="str">
        <f>IF(D308="","",IFERROR(INDEX(tblProductos[CATEGORIA],MATCH(D308,tblProductos[ITEM],0)),""))</f>
        <v/>
      </c>
      <c r="F308" s="15"/>
      <c r="G308" s="16" t="str">
        <f>IF(D308="","",IFERROR(INDEX(tblProductos[COSTO TOTAL],MATCH(D308,tblProductos[ITEM],0)),""))</f>
        <v/>
      </c>
      <c r="H308" s="16" t="str">
        <f t="shared" si="9"/>
        <v/>
      </c>
      <c r="I308" s="14" t="s">
        <v>42</v>
      </c>
      <c r="J308" s="14" t="s">
        <v>43</v>
      </c>
      <c r="K308" s="14"/>
    </row>
    <row r="309" spans="1:11" x14ac:dyDescent="0.3">
      <c r="A309" s="13"/>
      <c r="B309" s="14" t="str">
        <f t="shared" si="8"/>
        <v/>
      </c>
      <c r="C309" s="14"/>
      <c r="D309" s="14"/>
      <c r="E309" s="14" t="str">
        <f>IF(D309="","",IFERROR(INDEX(tblProductos[CATEGORIA],MATCH(D309,tblProductos[ITEM],0)),""))</f>
        <v/>
      </c>
      <c r="F309" s="15"/>
      <c r="G309" s="16" t="str">
        <f>IF(D309="","",IFERROR(INDEX(tblProductos[COSTO TOTAL],MATCH(D309,tblProductos[ITEM],0)),""))</f>
        <v/>
      </c>
      <c r="H309" s="16" t="str">
        <f t="shared" si="9"/>
        <v/>
      </c>
      <c r="I309" s="14" t="s">
        <v>42</v>
      </c>
      <c r="J309" s="14" t="s">
        <v>43</v>
      </c>
      <c r="K309" s="14"/>
    </row>
    <row r="310" spans="1:11" x14ac:dyDescent="0.3">
      <c r="A310" s="13"/>
      <c r="B310" s="14" t="str">
        <f t="shared" si="8"/>
        <v/>
      </c>
      <c r="C310" s="14"/>
      <c r="D310" s="14"/>
      <c r="E310" s="14" t="str">
        <f>IF(D310="","",IFERROR(INDEX(tblProductos[CATEGORIA],MATCH(D310,tblProductos[ITEM],0)),""))</f>
        <v/>
      </c>
      <c r="F310" s="15"/>
      <c r="G310" s="16" t="str">
        <f>IF(D310="","",IFERROR(INDEX(tblProductos[COSTO TOTAL],MATCH(D310,tblProductos[ITEM],0)),""))</f>
        <v/>
      </c>
      <c r="H310" s="16" t="str">
        <f t="shared" si="9"/>
        <v/>
      </c>
      <c r="I310" s="14" t="s">
        <v>42</v>
      </c>
      <c r="J310" s="14" t="s">
        <v>43</v>
      </c>
      <c r="K310" s="14"/>
    </row>
    <row r="311" spans="1:11" x14ac:dyDescent="0.3">
      <c r="A311" s="13"/>
      <c r="B311" s="14" t="str">
        <f t="shared" si="8"/>
        <v/>
      </c>
      <c r="C311" s="14"/>
      <c r="D311" s="14"/>
      <c r="E311" s="14" t="str">
        <f>IF(D311="","",IFERROR(INDEX(tblProductos[CATEGORIA],MATCH(D311,tblProductos[ITEM],0)),""))</f>
        <v/>
      </c>
      <c r="F311" s="15"/>
      <c r="G311" s="16" t="str">
        <f>IF(D311="","",IFERROR(INDEX(tblProductos[COSTO TOTAL],MATCH(D311,tblProductos[ITEM],0)),""))</f>
        <v/>
      </c>
      <c r="H311" s="16" t="str">
        <f t="shared" si="9"/>
        <v/>
      </c>
      <c r="I311" s="14" t="s">
        <v>42</v>
      </c>
      <c r="J311" s="14" t="s">
        <v>43</v>
      </c>
      <c r="K311" s="14"/>
    </row>
    <row r="312" spans="1:11" x14ac:dyDescent="0.3">
      <c r="A312" s="13"/>
      <c r="B312" s="14" t="str">
        <f t="shared" si="8"/>
        <v/>
      </c>
      <c r="C312" s="14"/>
      <c r="D312" s="14"/>
      <c r="E312" s="14" t="str">
        <f>IF(D312="","",IFERROR(INDEX(tblProductos[CATEGORIA],MATCH(D312,tblProductos[ITEM],0)),""))</f>
        <v/>
      </c>
      <c r="F312" s="15"/>
      <c r="G312" s="16" t="str">
        <f>IF(D312="","",IFERROR(INDEX(tblProductos[COSTO TOTAL],MATCH(D312,tblProductos[ITEM],0)),""))</f>
        <v/>
      </c>
      <c r="H312" s="16" t="str">
        <f t="shared" si="9"/>
        <v/>
      </c>
      <c r="I312" s="14" t="s">
        <v>42</v>
      </c>
      <c r="J312" s="14" t="s">
        <v>43</v>
      </c>
      <c r="K312" s="14"/>
    </row>
    <row r="313" spans="1:11" x14ac:dyDescent="0.3">
      <c r="A313" s="13"/>
      <c r="B313" s="14" t="str">
        <f t="shared" si="8"/>
        <v/>
      </c>
      <c r="C313" s="14"/>
      <c r="D313" s="14"/>
      <c r="E313" s="14" t="str">
        <f>IF(D313="","",IFERROR(INDEX(tblProductos[CATEGORIA],MATCH(D313,tblProductos[ITEM],0)),""))</f>
        <v/>
      </c>
      <c r="F313" s="15"/>
      <c r="G313" s="16" t="str">
        <f>IF(D313="","",IFERROR(INDEX(tblProductos[COSTO TOTAL],MATCH(D313,tblProductos[ITEM],0)),""))</f>
        <v/>
      </c>
      <c r="H313" s="16" t="str">
        <f t="shared" si="9"/>
        <v/>
      </c>
      <c r="I313" s="14" t="s">
        <v>42</v>
      </c>
      <c r="J313" s="14" t="s">
        <v>43</v>
      </c>
      <c r="K313" s="14"/>
    </row>
    <row r="314" spans="1:11" x14ac:dyDescent="0.3">
      <c r="A314" s="13"/>
      <c r="B314" s="14" t="str">
        <f t="shared" si="8"/>
        <v/>
      </c>
      <c r="C314" s="14"/>
      <c r="D314" s="14"/>
      <c r="E314" s="14" t="str">
        <f>IF(D314="","",IFERROR(INDEX(tblProductos[CATEGORIA],MATCH(D314,tblProductos[ITEM],0)),""))</f>
        <v/>
      </c>
      <c r="F314" s="15"/>
      <c r="G314" s="16" t="str">
        <f>IF(D314="","",IFERROR(INDEX(tblProductos[COSTO TOTAL],MATCH(D314,tblProductos[ITEM],0)),""))</f>
        <v/>
      </c>
      <c r="H314" s="16" t="str">
        <f t="shared" si="9"/>
        <v/>
      </c>
      <c r="I314" s="14" t="s">
        <v>42</v>
      </c>
      <c r="J314" s="14" t="s">
        <v>43</v>
      </c>
      <c r="K314" s="14"/>
    </row>
    <row r="315" spans="1:11" x14ac:dyDescent="0.3">
      <c r="A315" s="13"/>
      <c r="B315" s="14" t="str">
        <f t="shared" si="8"/>
        <v/>
      </c>
      <c r="C315" s="14"/>
      <c r="D315" s="14"/>
      <c r="E315" s="14" t="str">
        <f>IF(D315="","",IFERROR(INDEX(tblProductos[CATEGORIA],MATCH(D315,tblProductos[ITEM],0)),""))</f>
        <v/>
      </c>
      <c r="F315" s="15"/>
      <c r="G315" s="16" t="str">
        <f>IF(D315="","",IFERROR(INDEX(tblProductos[COSTO TOTAL],MATCH(D315,tblProductos[ITEM],0)),""))</f>
        <v/>
      </c>
      <c r="H315" s="16" t="str">
        <f t="shared" si="9"/>
        <v/>
      </c>
      <c r="I315" s="14" t="s">
        <v>42</v>
      </c>
      <c r="J315" s="14" t="s">
        <v>43</v>
      </c>
      <c r="K315" s="14"/>
    </row>
    <row r="316" spans="1:11" x14ac:dyDescent="0.3">
      <c r="A316" s="13"/>
      <c r="B316" s="14" t="str">
        <f t="shared" si="8"/>
        <v/>
      </c>
      <c r="C316" s="14"/>
      <c r="D316" s="14"/>
      <c r="E316" s="14" t="str">
        <f>IF(D316="","",IFERROR(INDEX(tblProductos[CATEGORIA],MATCH(D316,tblProductos[ITEM],0)),""))</f>
        <v/>
      </c>
      <c r="F316" s="15"/>
      <c r="G316" s="16" t="str">
        <f>IF(D316="","",IFERROR(INDEX(tblProductos[COSTO TOTAL],MATCH(D316,tblProductos[ITEM],0)),""))</f>
        <v/>
      </c>
      <c r="H316" s="16" t="str">
        <f t="shared" si="9"/>
        <v/>
      </c>
      <c r="I316" s="14" t="s">
        <v>42</v>
      </c>
      <c r="J316" s="14" t="s">
        <v>43</v>
      </c>
      <c r="K316" s="14"/>
    </row>
    <row r="317" spans="1:11" x14ac:dyDescent="0.3">
      <c r="A317" s="13"/>
      <c r="B317" s="14" t="str">
        <f t="shared" si="8"/>
        <v/>
      </c>
      <c r="C317" s="14"/>
      <c r="D317" s="14"/>
      <c r="E317" s="14" t="str">
        <f>IF(D317="","",IFERROR(INDEX(tblProductos[CATEGORIA],MATCH(D317,tblProductos[ITEM],0)),""))</f>
        <v/>
      </c>
      <c r="F317" s="15"/>
      <c r="G317" s="16" t="str">
        <f>IF(D317="","",IFERROR(INDEX(tblProductos[COSTO TOTAL],MATCH(D317,tblProductos[ITEM],0)),""))</f>
        <v/>
      </c>
      <c r="H317" s="16" t="str">
        <f t="shared" si="9"/>
        <v/>
      </c>
      <c r="I317" s="14" t="s">
        <v>42</v>
      </c>
      <c r="J317" s="14" t="s">
        <v>43</v>
      </c>
      <c r="K317" s="14"/>
    </row>
    <row r="318" spans="1:11" x14ac:dyDescent="0.3">
      <c r="A318" s="13"/>
      <c r="B318" s="14" t="str">
        <f t="shared" si="8"/>
        <v/>
      </c>
      <c r="C318" s="14"/>
      <c r="D318" s="14"/>
      <c r="E318" s="14" t="str">
        <f>IF(D318="","",IFERROR(INDEX(tblProductos[CATEGORIA],MATCH(D318,tblProductos[ITEM],0)),""))</f>
        <v/>
      </c>
      <c r="F318" s="15"/>
      <c r="G318" s="16" t="str">
        <f>IF(D318="","",IFERROR(INDEX(tblProductos[COSTO TOTAL],MATCH(D318,tblProductos[ITEM],0)),""))</f>
        <v/>
      </c>
      <c r="H318" s="16" t="str">
        <f t="shared" si="9"/>
        <v/>
      </c>
      <c r="I318" s="14" t="s">
        <v>42</v>
      </c>
      <c r="J318" s="14" t="s">
        <v>43</v>
      </c>
      <c r="K318" s="14"/>
    </row>
    <row r="319" spans="1:11" x14ac:dyDescent="0.3">
      <c r="A319" s="13"/>
      <c r="B319" s="14" t="str">
        <f t="shared" si="8"/>
        <v/>
      </c>
      <c r="C319" s="14"/>
      <c r="D319" s="14"/>
      <c r="E319" s="14" t="str">
        <f>IF(D319="","",IFERROR(INDEX(tblProductos[CATEGORIA],MATCH(D319,tblProductos[ITEM],0)),""))</f>
        <v/>
      </c>
      <c r="F319" s="15"/>
      <c r="G319" s="16" t="str">
        <f>IF(D319="","",IFERROR(INDEX(tblProductos[COSTO TOTAL],MATCH(D319,tblProductos[ITEM],0)),""))</f>
        <v/>
      </c>
      <c r="H319" s="16" t="str">
        <f t="shared" si="9"/>
        <v/>
      </c>
      <c r="I319" s="14" t="s">
        <v>42</v>
      </c>
      <c r="J319" s="14" t="s">
        <v>43</v>
      </c>
      <c r="K319" s="14"/>
    </row>
    <row r="320" spans="1:11" x14ac:dyDescent="0.3">
      <c r="A320" s="13"/>
      <c r="B320" s="14" t="str">
        <f t="shared" si="8"/>
        <v/>
      </c>
      <c r="C320" s="14"/>
      <c r="D320" s="14"/>
      <c r="E320" s="14" t="str">
        <f>IF(D320="","",IFERROR(INDEX(tblProductos[CATEGORIA],MATCH(D320,tblProductos[ITEM],0)),""))</f>
        <v/>
      </c>
      <c r="F320" s="15"/>
      <c r="G320" s="16" t="str">
        <f>IF(D320="","",IFERROR(INDEX(tblProductos[COSTO TOTAL],MATCH(D320,tblProductos[ITEM],0)),""))</f>
        <v/>
      </c>
      <c r="H320" s="16" t="str">
        <f t="shared" si="9"/>
        <v/>
      </c>
      <c r="I320" s="14" t="s">
        <v>42</v>
      </c>
      <c r="J320" s="14" t="s">
        <v>43</v>
      </c>
      <c r="K320" s="14"/>
    </row>
    <row r="321" spans="1:11" x14ac:dyDescent="0.3">
      <c r="A321" s="13"/>
      <c r="B321" s="14" t="str">
        <f t="shared" si="8"/>
        <v/>
      </c>
      <c r="C321" s="14"/>
      <c r="D321" s="14"/>
      <c r="E321" s="14" t="str">
        <f>IF(D321="","",IFERROR(INDEX(tblProductos[CATEGORIA],MATCH(D321,tblProductos[ITEM],0)),""))</f>
        <v/>
      </c>
      <c r="F321" s="15"/>
      <c r="G321" s="16" t="str">
        <f>IF(D321="","",IFERROR(INDEX(tblProductos[COSTO TOTAL],MATCH(D321,tblProductos[ITEM],0)),""))</f>
        <v/>
      </c>
      <c r="H321" s="16" t="str">
        <f t="shared" si="9"/>
        <v/>
      </c>
      <c r="I321" s="14" t="s">
        <v>42</v>
      </c>
      <c r="J321" s="14" t="s">
        <v>43</v>
      </c>
      <c r="K321" s="14"/>
    </row>
    <row r="322" spans="1:11" x14ac:dyDescent="0.3">
      <c r="A322" s="13"/>
      <c r="B322" s="14" t="str">
        <f t="shared" ref="B322:B385" si="10">IF(A322="","", "C"&amp;TEXT(A322,"yymmdd")&amp;"-"&amp;TEXT(ROW()-1,"0000"))</f>
        <v/>
      </c>
      <c r="C322" s="14"/>
      <c r="D322" s="14"/>
      <c r="E322" s="14" t="str">
        <f>IF(D322="","",IFERROR(INDEX(tblProductos[CATEGORIA],MATCH(D322,tblProductos[ITEM],0)),""))</f>
        <v/>
      </c>
      <c r="F322" s="15"/>
      <c r="G322" s="16" t="str">
        <f>IF(D322="","",IFERROR(INDEX(tblProductos[COSTO TOTAL],MATCH(D322,tblProductos[ITEM],0)),""))</f>
        <v/>
      </c>
      <c r="H322" s="16" t="str">
        <f t="shared" ref="H322:H385" si="11">IF(F322="","",F322*G322)</f>
        <v/>
      </c>
      <c r="I322" s="14" t="s">
        <v>42</v>
      </c>
      <c r="J322" s="14" t="s">
        <v>43</v>
      </c>
      <c r="K322" s="14"/>
    </row>
    <row r="323" spans="1:11" x14ac:dyDescent="0.3">
      <c r="A323" s="13"/>
      <c r="B323" s="14" t="str">
        <f t="shared" si="10"/>
        <v/>
      </c>
      <c r="C323" s="14"/>
      <c r="D323" s="14"/>
      <c r="E323" s="14" t="str">
        <f>IF(D323="","",IFERROR(INDEX(tblProductos[CATEGORIA],MATCH(D323,tblProductos[ITEM],0)),""))</f>
        <v/>
      </c>
      <c r="F323" s="15"/>
      <c r="G323" s="16" t="str">
        <f>IF(D323="","",IFERROR(INDEX(tblProductos[COSTO TOTAL],MATCH(D323,tblProductos[ITEM],0)),""))</f>
        <v/>
      </c>
      <c r="H323" s="16" t="str">
        <f t="shared" si="11"/>
        <v/>
      </c>
      <c r="I323" s="14" t="s">
        <v>42</v>
      </c>
      <c r="J323" s="14" t="s">
        <v>43</v>
      </c>
      <c r="K323" s="14"/>
    </row>
    <row r="324" spans="1:11" x14ac:dyDescent="0.3">
      <c r="A324" s="13"/>
      <c r="B324" s="14" t="str">
        <f t="shared" si="10"/>
        <v/>
      </c>
      <c r="C324" s="14"/>
      <c r="D324" s="14"/>
      <c r="E324" s="14" t="str">
        <f>IF(D324="","",IFERROR(INDEX(tblProductos[CATEGORIA],MATCH(D324,tblProductos[ITEM],0)),""))</f>
        <v/>
      </c>
      <c r="F324" s="15"/>
      <c r="G324" s="16" t="str">
        <f>IF(D324="","",IFERROR(INDEX(tblProductos[COSTO TOTAL],MATCH(D324,tblProductos[ITEM],0)),""))</f>
        <v/>
      </c>
      <c r="H324" s="16" t="str">
        <f t="shared" si="11"/>
        <v/>
      </c>
      <c r="I324" s="14" t="s">
        <v>42</v>
      </c>
      <c r="J324" s="14" t="s">
        <v>43</v>
      </c>
      <c r="K324" s="14"/>
    </row>
    <row r="325" spans="1:11" x14ac:dyDescent="0.3">
      <c r="A325" s="13"/>
      <c r="B325" s="14" t="str">
        <f t="shared" si="10"/>
        <v/>
      </c>
      <c r="C325" s="14"/>
      <c r="D325" s="14"/>
      <c r="E325" s="14" t="str">
        <f>IF(D325="","",IFERROR(INDEX(tblProductos[CATEGORIA],MATCH(D325,tblProductos[ITEM],0)),""))</f>
        <v/>
      </c>
      <c r="F325" s="15"/>
      <c r="G325" s="16" t="str">
        <f>IF(D325="","",IFERROR(INDEX(tblProductos[COSTO TOTAL],MATCH(D325,tblProductos[ITEM],0)),""))</f>
        <v/>
      </c>
      <c r="H325" s="16" t="str">
        <f t="shared" si="11"/>
        <v/>
      </c>
      <c r="I325" s="14" t="s">
        <v>42</v>
      </c>
      <c r="J325" s="14" t="s">
        <v>43</v>
      </c>
      <c r="K325" s="14"/>
    </row>
    <row r="326" spans="1:11" x14ac:dyDescent="0.3">
      <c r="A326" s="13"/>
      <c r="B326" s="14" t="str">
        <f t="shared" si="10"/>
        <v/>
      </c>
      <c r="C326" s="14"/>
      <c r="D326" s="14"/>
      <c r="E326" s="14" t="str">
        <f>IF(D326="","",IFERROR(INDEX(tblProductos[CATEGORIA],MATCH(D326,tblProductos[ITEM],0)),""))</f>
        <v/>
      </c>
      <c r="F326" s="15"/>
      <c r="G326" s="16" t="str">
        <f>IF(D326="","",IFERROR(INDEX(tblProductos[COSTO TOTAL],MATCH(D326,tblProductos[ITEM],0)),""))</f>
        <v/>
      </c>
      <c r="H326" s="16" t="str">
        <f t="shared" si="11"/>
        <v/>
      </c>
      <c r="I326" s="14" t="s">
        <v>42</v>
      </c>
      <c r="J326" s="14" t="s">
        <v>43</v>
      </c>
      <c r="K326" s="14"/>
    </row>
    <row r="327" spans="1:11" x14ac:dyDescent="0.3">
      <c r="A327" s="13"/>
      <c r="B327" s="14" t="str">
        <f t="shared" si="10"/>
        <v/>
      </c>
      <c r="C327" s="14"/>
      <c r="D327" s="14"/>
      <c r="E327" s="14" t="str">
        <f>IF(D327="","",IFERROR(INDEX(tblProductos[CATEGORIA],MATCH(D327,tblProductos[ITEM],0)),""))</f>
        <v/>
      </c>
      <c r="F327" s="15"/>
      <c r="G327" s="16" t="str">
        <f>IF(D327="","",IFERROR(INDEX(tblProductos[COSTO TOTAL],MATCH(D327,tblProductos[ITEM],0)),""))</f>
        <v/>
      </c>
      <c r="H327" s="16" t="str">
        <f t="shared" si="11"/>
        <v/>
      </c>
      <c r="I327" s="14" t="s">
        <v>42</v>
      </c>
      <c r="J327" s="14" t="s">
        <v>43</v>
      </c>
      <c r="K327" s="14"/>
    </row>
    <row r="328" spans="1:11" x14ac:dyDescent="0.3">
      <c r="A328" s="13"/>
      <c r="B328" s="14" t="str">
        <f t="shared" si="10"/>
        <v/>
      </c>
      <c r="C328" s="14"/>
      <c r="D328" s="14"/>
      <c r="E328" s="14" t="str">
        <f>IF(D328="","",IFERROR(INDEX(tblProductos[CATEGORIA],MATCH(D328,tblProductos[ITEM],0)),""))</f>
        <v/>
      </c>
      <c r="F328" s="15"/>
      <c r="G328" s="16" t="str">
        <f>IF(D328="","",IFERROR(INDEX(tblProductos[COSTO TOTAL],MATCH(D328,tblProductos[ITEM],0)),""))</f>
        <v/>
      </c>
      <c r="H328" s="16" t="str">
        <f t="shared" si="11"/>
        <v/>
      </c>
      <c r="I328" s="14" t="s">
        <v>42</v>
      </c>
      <c r="J328" s="14" t="s">
        <v>43</v>
      </c>
      <c r="K328" s="14"/>
    </row>
    <row r="329" spans="1:11" x14ac:dyDescent="0.3">
      <c r="A329" s="13"/>
      <c r="B329" s="14" t="str">
        <f t="shared" si="10"/>
        <v/>
      </c>
      <c r="C329" s="14"/>
      <c r="D329" s="14"/>
      <c r="E329" s="14" t="str">
        <f>IF(D329="","",IFERROR(INDEX(tblProductos[CATEGORIA],MATCH(D329,tblProductos[ITEM],0)),""))</f>
        <v/>
      </c>
      <c r="F329" s="15"/>
      <c r="G329" s="16" t="str">
        <f>IF(D329="","",IFERROR(INDEX(tblProductos[COSTO TOTAL],MATCH(D329,tblProductos[ITEM],0)),""))</f>
        <v/>
      </c>
      <c r="H329" s="16" t="str">
        <f t="shared" si="11"/>
        <v/>
      </c>
      <c r="I329" s="14" t="s">
        <v>42</v>
      </c>
      <c r="J329" s="14" t="s">
        <v>43</v>
      </c>
      <c r="K329" s="14"/>
    </row>
    <row r="330" spans="1:11" x14ac:dyDescent="0.3">
      <c r="A330" s="13"/>
      <c r="B330" s="14" t="str">
        <f t="shared" si="10"/>
        <v/>
      </c>
      <c r="C330" s="14"/>
      <c r="D330" s="14"/>
      <c r="E330" s="14" t="str">
        <f>IF(D330="","",IFERROR(INDEX(tblProductos[CATEGORIA],MATCH(D330,tblProductos[ITEM],0)),""))</f>
        <v/>
      </c>
      <c r="F330" s="15"/>
      <c r="G330" s="16" t="str">
        <f>IF(D330="","",IFERROR(INDEX(tblProductos[COSTO TOTAL],MATCH(D330,tblProductos[ITEM],0)),""))</f>
        <v/>
      </c>
      <c r="H330" s="16" t="str">
        <f t="shared" si="11"/>
        <v/>
      </c>
      <c r="I330" s="14" t="s">
        <v>42</v>
      </c>
      <c r="J330" s="14" t="s">
        <v>43</v>
      </c>
      <c r="K330" s="14"/>
    </row>
    <row r="331" spans="1:11" x14ac:dyDescent="0.3">
      <c r="A331" s="13"/>
      <c r="B331" s="14" t="str">
        <f t="shared" si="10"/>
        <v/>
      </c>
      <c r="C331" s="14"/>
      <c r="D331" s="14"/>
      <c r="E331" s="14" t="str">
        <f>IF(D331="","",IFERROR(INDEX(tblProductos[CATEGORIA],MATCH(D331,tblProductos[ITEM],0)),""))</f>
        <v/>
      </c>
      <c r="F331" s="15"/>
      <c r="G331" s="16" t="str">
        <f>IF(D331="","",IFERROR(INDEX(tblProductos[COSTO TOTAL],MATCH(D331,tblProductos[ITEM],0)),""))</f>
        <v/>
      </c>
      <c r="H331" s="16" t="str">
        <f t="shared" si="11"/>
        <v/>
      </c>
      <c r="I331" s="14" t="s">
        <v>42</v>
      </c>
      <c r="J331" s="14" t="s">
        <v>43</v>
      </c>
      <c r="K331" s="14"/>
    </row>
    <row r="332" spans="1:11" x14ac:dyDescent="0.3">
      <c r="A332" s="13"/>
      <c r="B332" s="14" t="str">
        <f t="shared" si="10"/>
        <v/>
      </c>
      <c r="C332" s="14"/>
      <c r="D332" s="14"/>
      <c r="E332" s="14" t="str">
        <f>IF(D332="","",IFERROR(INDEX(tblProductos[CATEGORIA],MATCH(D332,tblProductos[ITEM],0)),""))</f>
        <v/>
      </c>
      <c r="F332" s="15"/>
      <c r="G332" s="16" t="str">
        <f>IF(D332="","",IFERROR(INDEX(tblProductos[COSTO TOTAL],MATCH(D332,tblProductos[ITEM],0)),""))</f>
        <v/>
      </c>
      <c r="H332" s="16" t="str">
        <f t="shared" si="11"/>
        <v/>
      </c>
      <c r="I332" s="14" t="s">
        <v>42</v>
      </c>
      <c r="J332" s="14" t="s">
        <v>43</v>
      </c>
      <c r="K332" s="14"/>
    </row>
    <row r="333" spans="1:11" x14ac:dyDescent="0.3">
      <c r="A333" s="13"/>
      <c r="B333" s="14" t="str">
        <f t="shared" si="10"/>
        <v/>
      </c>
      <c r="C333" s="14"/>
      <c r="D333" s="14"/>
      <c r="E333" s="14" t="str">
        <f>IF(D333="","",IFERROR(INDEX(tblProductos[CATEGORIA],MATCH(D333,tblProductos[ITEM],0)),""))</f>
        <v/>
      </c>
      <c r="F333" s="15"/>
      <c r="G333" s="16" t="str">
        <f>IF(D333="","",IFERROR(INDEX(tblProductos[COSTO TOTAL],MATCH(D333,tblProductos[ITEM],0)),""))</f>
        <v/>
      </c>
      <c r="H333" s="16" t="str">
        <f t="shared" si="11"/>
        <v/>
      </c>
      <c r="I333" s="14" t="s">
        <v>42</v>
      </c>
      <c r="J333" s="14" t="s">
        <v>43</v>
      </c>
      <c r="K333" s="14"/>
    </row>
    <row r="334" spans="1:11" x14ac:dyDescent="0.3">
      <c r="A334" s="13"/>
      <c r="B334" s="14" t="str">
        <f t="shared" si="10"/>
        <v/>
      </c>
      <c r="C334" s="14"/>
      <c r="D334" s="14"/>
      <c r="E334" s="14" t="str">
        <f>IF(D334="","",IFERROR(INDEX(tblProductos[CATEGORIA],MATCH(D334,tblProductos[ITEM],0)),""))</f>
        <v/>
      </c>
      <c r="F334" s="15"/>
      <c r="G334" s="16" t="str">
        <f>IF(D334="","",IFERROR(INDEX(tblProductos[COSTO TOTAL],MATCH(D334,tblProductos[ITEM],0)),""))</f>
        <v/>
      </c>
      <c r="H334" s="16" t="str">
        <f t="shared" si="11"/>
        <v/>
      </c>
      <c r="I334" s="14" t="s">
        <v>42</v>
      </c>
      <c r="J334" s="14" t="s">
        <v>43</v>
      </c>
      <c r="K334" s="14"/>
    </row>
    <row r="335" spans="1:11" x14ac:dyDescent="0.3">
      <c r="A335" s="13"/>
      <c r="B335" s="14" t="str">
        <f t="shared" si="10"/>
        <v/>
      </c>
      <c r="C335" s="14"/>
      <c r="D335" s="14"/>
      <c r="E335" s="14" t="str">
        <f>IF(D335="","",IFERROR(INDEX(tblProductos[CATEGORIA],MATCH(D335,tblProductos[ITEM],0)),""))</f>
        <v/>
      </c>
      <c r="F335" s="15"/>
      <c r="G335" s="16" t="str">
        <f>IF(D335="","",IFERROR(INDEX(tblProductos[COSTO TOTAL],MATCH(D335,tblProductos[ITEM],0)),""))</f>
        <v/>
      </c>
      <c r="H335" s="16" t="str">
        <f t="shared" si="11"/>
        <v/>
      </c>
      <c r="I335" s="14" t="s">
        <v>42</v>
      </c>
      <c r="J335" s="14" t="s">
        <v>43</v>
      </c>
      <c r="K335" s="14"/>
    </row>
    <row r="336" spans="1:11" x14ac:dyDescent="0.3">
      <c r="A336" s="13"/>
      <c r="B336" s="14" t="str">
        <f t="shared" si="10"/>
        <v/>
      </c>
      <c r="C336" s="14"/>
      <c r="D336" s="14"/>
      <c r="E336" s="14" t="str">
        <f>IF(D336="","",IFERROR(INDEX(tblProductos[CATEGORIA],MATCH(D336,tblProductos[ITEM],0)),""))</f>
        <v/>
      </c>
      <c r="F336" s="15"/>
      <c r="G336" s="16" t="str">
        <f>IF(D336="","",IFERROR(INDEX(tblProductos[COSTO TOTAL],MATCH(D336,tblProductos[ITEM],0)),""))</f>
        <v/>
      </c>
      <c r="H336" s="16" t="str">
        <f t="shared" si="11"/>
        <v/>
      </c>
      <c r="I336" s="14" t="s">
        <v>42</v>
      </c>
      <c r="J336" s="14" t="s">
        <v>43</v>
      </c>
      <c r="K336" s="14"/>
    </row>
    <row r="337" spans="1:11" x14ac:dyDescent="0.3">
      <c r="A337" s="13"/>
      <c r="B337" s="14" t="str">
        <f t="shared" si="10"/>
        <v/>
      </c>
      <c r="C337" s="14"/>
      <c r="D337" s="14"/>
      <c r="E337" s="14" t="str">
        <f>IF(D337="","",IFERROR(INDEX(tblProductos[CATEGORIA],MATCH(D337,tblProductos[ITEM],0)),""))</f>
        <v/>
      </c>
      <c r="F337" s="15"/>
      <c r="G337" s="16" t="str">
        <f>IF(D337="","",IFERROR(INDEX(tblProductos[COSTO TOTAL],MATCH(D337,tblProductos[ITEM],0)),""))</f>
        <v/>
      </c>
      <c r="H337" s="16" t="str">
        <f t="shared" si="11"/>
        <v/>
      </c>
      <c r="I337" s="14" t="s">
        <v>42</v>
      </c>
      <c r="J337" s="14" t="s">
        <v>43</v>
      </c>
      <c r="K337" s="14"/>
    </row>
    <row r="338" spans="1:11" x14ac:dyDescent="0.3">
      <c r="A338" s="13"/>
      <c r="B338" s="14" t="str">
        <f t="shared" si="10"/>
        <v/>
      </c>
      <c r="C338" s="14"/>
      <c r="D338" s="14"/>
      <c r="E338" s="14" t="str">
        <f>IF(D338="","",IFERROR(INDEX(tblProductos[CATEGORIA],MATCH(D338,tblProductos[ITEM],0)),""))</f>
        <v/>
      </c>
      <c r="F338" s="15"/>
      <c r="G338" s="16" t="str">
        <f>IF(D338="","",IFERROR(INDEX(tblProductos[COSTO TOTAL],MATCH(D338,tblProductos[ITEM],0)),""))</f>
        <v/>
      </c>
      <c r="H338" s="16" t="str">
        <f t="shared" si="11"/>
        <v/>
      </c>
      <c r="I338" s="14" t="s">
        <v>42</v>
      </c>
      <c r="J338" s="14" t="s">
        <v>43</v>
      </c>
      <c r="K338" s="14"/>
    </row>
    <row r="339" spans="1:11" x14ac:dyDescent="0.3">
      <c r="A339" s="13"/>
      <c r="B339" s="14" t="str">
        <f t="shared" si="10"/>
        <v/>
      </c>
      <c r="C339" s="14"/>
      <c r="D339" s="14"/>
      <c r="E339" s="14" t="str">
        <f>IF(D339="","",IFERROR(INDEX(tblProductos[CATEGORIA],MATCH(D339,tblProductos[ITEM],0)),""))</f>
        <v/>
      </c>
      <c r="F339" s="15"/>
      <c r="G339" s="16" t="str">
        <f>IF(D339="","",IFERROR(INDEX(tblProductos[COSTO TOTAL],MATCH(D339,tblProductos[ITEM],0)),""))</f>
        <v/>
      </c>
      <c r="H339" s="16" t="str">
        <f t="shared" si="11"/>
        <v/>
      </c>
      <c r="I339" s="14" t="s">
        <v>42</v>
      </c>
      <c r="J339" s="14" t="s">
        <v>43</v>
      </c>
      <c r="K339" s="14"/>
    </row>
    <row r="340" spans="1:11" x14ac:dyDescent="0.3">
      <c r="A340" s="13"/>
      <c r="B340" s="14" t="str">
        <f t="shared" si="10"/>
        <v/>
      </c>
      <c r="C340" s="14"/>
      <c r="D340" s="14"/>
      <c r="E340" s="14" t="str">
        <f>IF(D340="","",IFERROR(INDEX(tblProductos[CATEGORIA],MATCH(D340,tblProductos[ITEM],0)),""))</f>
        <v/>
      </c>
      <c r="F340" s="15"/>
      <c r="G340" s="16" t="str">
        <f>IF(D340="","",IFERROR(INDEX(tblProductos[COSTO TOTAL],MATCH(D340,tblProductos[ITEM],0)),""))</f>
        <v/>
      </c>
      <c r="H340" s="16" t="str">
        <f t="shared" si="11"/>
        <v/>
      </c>
      <c r="I340" s="14" t="s">
        <v>42</v>
      </c>
      <c r="J340" s="14" t="s">
        <v>43</v>
      </c>
      <c r="K340" s="14"/>
    </row>
    <row r="341" spans="1:11" x14ac:dyDescent="0.3">
      <c r="A341" s="13"/>
      <c r="B341" s="14" t="str">
        <f t="shared" si="10"/>
        <v/>
      </c>
      <c r="C341" s="14"/>
      <c r="D341" s="14"/>
      <c r="E341" s="14" t="str">
        <f>IF(D341="","",IFERROR(INDEX(tblProductos[CATEGORIA],MATCH(D341,tblProductos[ITEM],0)),""))</f>
        <v/>
      </c>
      <c r="F341" s="15"/>
      <c r="G341" s="16" t="str">
        <f>IF(D341="","",IFERROR(INDEX(tblProductos[COSTO TOTAL],MATCH(D341,tblProductos[ITEM],0)),""))</f>
        <v/>
      </c>
      <c r="H341" s="16" t="str">
        <f t="shared" si="11"/>
        <v/>
      </c>
      <c r="I341" s="14" t="s">
        <v>42</v>
      </c>
      <c r="J341" s="14" t="s">
        <v>43</v>
      </c>
      <c r="K341" s="14"/>
    </row>
    <row r="342" spans="1:11" x14ac:dyDescent="0.3">
      <c r="A342" s="13"/>
      <c r="B342" s="14" t="str">
        <f t="shared" si="10"/>
        <v/>
      </c>
      <c r="C342" s="14"/>
      <c r="D342" s="14"/>
      <c r="E342" s="14" t="str">
        <f>IF(D342="","",IFERROR(INDEX(tblProductos[CATEGORIA],MATCH(D342,tblProductos[ITEM],0)),""))</f>
        <v/>
      </c>
      <c r="F342" s="15"/>
      <c r="G342" s="16" t="str">
        <f>IF(D342="","",IFERROR(INDEX(tblProductos[COSTO TOTAL],MATCH(D342,tblProductos[ITEM],0)),""))</f>
        <v/>
      </c>
      <c r="H342" s="16" t="str">
        <f t="shared" si="11"/>
        <v/>
      </c>
      <c r="I342" s="14" t="s">
        <v>42</v>
      </c>
      <c r="J342" s="14" t="s">
        <v>43</v>
      </c>
      <c r="K342" s="14"/>
    </row>
    <row r="343" spans="1:11" x14ac:dyDescent="0.3">
      <c r="A343" s="13"/>
      <c r="B343" s="14" t="str">
        <f t="shared" si="10"/>
        <v/>
      </c>
      <c r="C343" s="14"/>
      <c r="D343" s="14"/>
      <c r="E343" s="14" t="str">
        <f>IF(D343="","",IFERROR(INDEX(tblProductos[CATEGORIA],MATCH(D343,tblProductos[ITEM],0)),""))</f>
        <v/>
      </c>
      <c r="F343" s="15"/>
      <c r="G343" s="16" t="str">
        <f>IF(D343="","",IFERROR(INDEX(tblProductos[COSTO TOTAL],MATCH(D343,tblProductos[ITEM],0)),""))</f>
        <v/>
      </c>
      <c r="H343" s="16" t="str">
        <f t="shared" si="11"/>
        <v/>
      </c>
      <c r="I343" s="14" t="s">
        <v>42</v>
      </c>
      <c r="J343" s="14" t="s">
        <v>43</v>
      </c>
      <c r="K343" s="14"/>
    </row>
    <row r="344" spans="1:11" x14ac:dyDescent="0.3">
      <c r="A344" s="13"/>
      <c r="B344" s="14" t="str">
        <f t="shared" si="10"/>
        <v/>
      </c>
      <c r="C344" s="14"/>
      <c r="D344" s="14"/>
      <c r="E344" s="14" t="str">
        <f>IF(D344="","",IFERROR(INDEX(tblProductos[CATEGORIA],MATCH(D344,tblProductos[ITEM],0)),""))</f>
        <v/>
      </c>
      <c r="F344" s="15"/>
      <c r="G344" s="16" t="str">
        <f>IF(D344="","",IFERROR(INDEX(tblProductos[COSTO TOTAL],MATCH(D344,tblProductos[ITEM],0)),""))</f>
        <v/>
      </c>
      <c r="H344" s="16" t="str">
        <f t="shared" si="11"/>
        <v/>
      </c>
      <c r="I344" s="14" t="s">
        <v>42</v>
      </c>
      <c r="J344" s="14" t="s">
        <v>43</v>
      </c>
      <c r="K344" s="14"/>
    </row>
    <row r="345" spans="1:11" x14ac:dyDescent="0.3">
      <c r="A345" s="13"/>
      <c r="B345" s="14" t="str">
        <f t="shared" si="10"/>
        <v/>
      </c>
      <c r="C345" s="14"/>
      <c r="D345" s="14"/>
      <c r="E345" s="14" t="str">
        <f>IF(D345="","",IFERROR(INDEX(tblProductos[CATEGORIA],MATCH(D345,tblProductos[ITEM],0)),""))</f>
        <v/>
      </c>
      <c r="F345" s="15"/>
      <c r="G345" s="16" t="str">
        <f>IF(D345="","",IFERROR(INDEX(tblProductos[COSTO TOTAL],MATCH(D345,tblProductos[ITEM],0)),""))</f>
        <v/>
      </c>
      <c r="H345" s="16" t="str">
        <f t="shared" si="11"/>
        <v/>
      </c>
      <c r="I345" s="14" t="s">
        <v>42</v>
      </c>
      <c r="J345" s="14" t="s">
        <v>43</v>
      </c>
      <c r="K345" s="14"/>
    </row>
    <row r="346" spans="1:11" x14ac:dyDescent="0.3">
      <c r="A346" s="13"/>
      <c r="B346" s="14" t="str">
        <f t="shared" si="10"/>
        <v/>
      </c>
      <c r="C346" s="14"/>
      <c r="D346" s="14"/>
      <c r="E346" s="14" t="str">
        <f>IF(D346="","",IFERROR(INDEX(tblProductos[CATEGORIA],MATCH(D346,tblProductos[ITEM],0)),""))</f>
        <v/>
      </c>
      <c r="F346" s="15"/>
      <c r="G346" s="16" t="str">
        <f>IF(D346="","",IFERROR(INDEX(tblProductos[COSTO TOTAL],MATCH(D346,tblProductos[ITEM],0)),""))</f>
        <v/>
      </c>
      <c r="H346" s="16" t="str">
        <f t="shared" si="11"/>
        <v/>
      </c>
      <c r="I346" s="14" t="s">
        <v>42</v>
      </c>
      <c r="J346" s="14" t="s">
        <v>43</v>
      </c>
      <c r="K346" s="14"/>
    </row>
    <row r="347" spans="1:11" x14ac:dyDescent="0.3">
      <c r="A347" s="13"/>
      <c r="B347" s="14" t="str">
        <f t="shared" si="10"/>
        <v/>
      </c>
      <c r="C347" s="14"/>
      <c r="D347" s="14"/>
      <c r="E347" s="14" t="str">
        <f>IF(D347="","",IFERROR(INDEX(tblProductos[CATEGORIA],MATCH(D347,tblProductos[ITEM],0)),""))</f>
        <v/>
      </c>
      <c r="F347" s="15"/>
      <c r="G347" s="16" t="str">
        <f>IF(D347="","",IFERROR(INDEX(tblProductos[COSTO TOTAL],MATCH(D347,tblProductos[ITEM],0)),""))</f>
        <v/>
      </c>
      <c r="H347" s="16" t="str">
        <f t="shared" si="11"/>
        <v/>
      </c>
      <c r="I347" s="14" t="s">
        <v>42</v>
      </c>
      <c r="J347" s="14" t="s">
        <v>43</v>
      </c>
      <c r="K347" s="14"/>
    </row>
    <row r="348" spans="1:11" x14ac:dyDescent="0.3">
      <c r="A348" s="13"/>
      <c r="B348" s="14" t="str">
        <f t="shared" si="10"/>
        <v/>
      </c>
      <c r="C348" s="14"/>
      <c r="D348" s="14"/>
      <c r="E348" s="14" t="str">
        <f>IF(D348="","",IFERROR(INDEX(tblProductos[CATEGORIA],MATCH(D348,tblProductos[ITEM],0)),""))</f>
        <v/>
      </c>
      <c r="F348" s="15"/>
      <c r="G348" s="16" t="str">
        <f>IF(D348="","",IFERROR(INDEX(tblProductos[COSTO TOTAL],MATCH(D348,tblProductos[ITEM],0)),""))</f>
        <v/>
      </c>
      <c r="H348" s="16" t="str">
        <f t="shared" si="11"/>
        <v/>
      </c>
      <c r="I348" s="14" t="s">
        <v>42</v>
      </c>
      <c r="J348" s="14" t="s">
        <v>43</v>
      </c>
      <c r="K348" s="14"/>
    </row>
    <row r="349" spans="1:11" x14ac:dyDescent="0.3">
      <c r="A349" s="13"/>
      <c r="B349" s="14" t="str">
        <f t="shared" si="10"/>
        <v/>
      </c>
      <c r="C349" s="14"/>
      <c r="D349" s="14"/>
      <c r="E349" s="14" t="str">
        <f>IF(D349="","",IFERROR(INDEX(tblProductos[CATEGORIA],MATCH(D349,tblProductos[ITEM],0)),""))</f>
        <v/>
      </c>
      <c r="F349" s="15"/>
      <c r="G349" s="16" t="str">
        <f>IF(D349="","",IFERROR(INDEX(tblProductos[COSTO TOTAL],MATCH(D349,tblProductos[ITEM],0)),""))</f>
        <v/>
      </c>
      <c r="H349" s="16" t="str">
        <f t="shared" si="11"/>
        <v/>
      </c>
      <c r="I349" s="14" t="s">
        <v>42</v>
      </c>
      <c r="J349" s="14" t="s">
        <v>43</v>
      </c>
      <c r="K349" s="14"/>
    </row>
    <row r="350" spans="1:11" x14ac:dyDescent="0.3">
      <c r="A350" s="13"/>
      <c r="B350" s="14" t="str">
        <f t="shared" si="10"/>
        <v/>
      </c>
      <c r="C350" s="14"/>
      <c r="D350" s="14"/>
      <c r="E350" s="14" t="str">
        <f>IF(D350="","",IFERROR(INDEX(tblProductos[CATEGORIA],MATCH(D350,tblProductos[ITEM],0)),""))</f>
        <v/>
      </c>
      <c r="F350" s="15"/>
      <c r="G350" s="16" t="str">
        <f>IF(D350="","",IFERROR(INDEX(tblProductos[COSTO TOTAL],MATCH(D350,tblProductos[ITEM],0)),""))</f>
        <v/>
      </c>
      <c r="H350" s="16" t="str">
        <f t="shared" si="11"/>
        <v/>
      </c>
      <c r="I350" s="14" t="s">
        <v>42</v>
      </c>
      <c r="J350" s="14" t="s">
        <v>43</v>
      </c>
      <c r="K350" s="14"/>
    </row>
    <row r="351" spans="1:11" x14ac:dyDescent="0.3">
      <c r="A351" s="13"/>
      <c r="B351" s="14" t="str">
        <f t="shared" si="10"/>
        <v/>
      </c>
      <c r="C351" s="14"/>
      <c r="D351" s="14"/>
      <c r="E351" s="14" t="str">
        <f>IF(D351="","",IFERROR(INDEX(tblProductos[CATEGORIA],MATCH(D351,tblProductos[ITEM],0)),""))</f>
        <v/>
      </c>
      <c r="F351" s="15"/>
      <c r="G351" s="16" t="str">
        <f>IF(D351="","",IFERROR(INDEX(tblProductos[COSTO TOTAL],MATCH(D351,tblProductos[ITEM],0)),""))</f>
        <v/>
      </c>
      <c r="H351" s="16" t="str">
        <f t="shared" si="11"/>
        <v/>
      </c>
      <c r="I351" s="14" t="s">
        <v>42</v>
      </c>
      <c r="J351" s="14" t="s">
        <v>43</v>
      </c>
      <c r="K351" s="14"/>
    </row>
    <row r="352" spans="1:11" x14ac:dyDescent="0.3">
      <c r="A352" s="13"/>
      <c r="B352" s="14" t="str">
        <f t="shared" si="10"/>
        <v/>
      </c>
      <c r="C352" s="14"/>
      <c r="D352" s="14"/>
      <c r="E352" s="14" t="str">
        <f>IF(D352="","",IFERROR(INDEX(tblProductos[CATEGORIA],MATCH(D352,tblProductos[ITEM],0)),""))</f>
        <v/>
      </c>
      <c r="F352" s="15"/>
      <c r="G352" s="16" t="str">
        <f>IF(D352="","",IFERROR(INDEX(tblProductos[COSTO TOTAL],MATCH(D352,tblProductos[ITEM],0)),""))</f>
        <v/>
      </c>
      <c r="H352" s="16" t="str">
        <f t="shared" si="11"/>
        <v/>
      </c>
      <c r="I352" s="14" t="s">
        <v>42</v>
      </c>
      <c r="J352" s="14" t="s">
        <v>43</v>
      </c>
      <c r="K352" s="14"/>
    </row>
    <row r="353" spans="1:11" x14ac:dyDescent="0.3">
      <c r="A353" s="13"/>
      <c r="B353" s="14" t="str">
        <f t="shared" si="10"/>
        <v/>
      </c>
      <c r="C353" s="14"/>
      <c r="D353" s="14"/>
      <c r="E353" s="14" t="str">
        <f>IF(D353="","",IFERROR(INDEX(tblProductos[CATEGORIA],MATCH(D353,tblProductos[ITEM],0)),""))</f>
        <v/>
      </c>
      <c r="F353" s="15"/>
      <c r="G353" s="16" t="str">
        <f>IF(D353="","",IFERROR(INDEX(tblProductos[COSTO TOTAL],MATCH(D353,tblProductos[ITEM],0)),""))</f>
        <v/>
      </c>
      <c r="H353" s="16" t="str">
        <f t="shared" si="11"/>
        <v/>
      </c>
      <c r="I353" s="14" t="s">
        <v>42</v>
      </c>
      <c r="J353" s="14" t="s">
        <v>43</v>
      </c>
      <c r="K353" s="14"/>
    </row>
    <row r="354" spans="1:11" x14ac:dyDescent="0.3">
      <c r="A354" s="13"/>
      <c r="B354" s="14" t="str">
        <f t="shared" si="10"/>
        <v/>
      </c>
      <c r="C354" s="14"/>
      <c r="D354" s="14"/>
      <c r="E354" s="14" t="str">
        <f>IF(D354="","",IFERROR(INDEX(tblProductos[CATEGORIA],MATCH(D354,tblProductos[ITEM],0)),""))</f>
        <v/>
      </c>
      <c r="F354" s="15"/>
      <c r="G354" s="16" t="str">
        <f>IF(D354="","",IFERROR(INDEX(tblProductos[COSTO TOTAL],MATCH(D354,tblProductos[ITEM],0)),""))</f>
        <v/>
      </c>
      <c r="H354" s="16" t="str">
        <f t="shared" si="11"/>
        <v/>
      </c>
      <c r="I354" s="14" t="s">
        <v>42</v>
      </c>
      <c r="J354" s="14" t="s">
        <v>43</v>
      </c>
      <c r="K354" s="14"/>
    </row>
    <row r="355" spans="1:11" x14ac:dyDescent="0.3">
      <c r="A355" s="13"/>
      <c r="B355" s="14" t="str">
        <f t="shared" si="10"/>
        <v/>
      </c>
      <c r="C355" s="14"/>
      <c r="D355" s="14"/>
      <c r="E355" s="14" t="str">
        <f>IF(D355="","",IFERROR(INDEX(tblProductos[CATEGORIA],MATCH(D355,tblProductos[ITEM],0)),""))</f>
        <v/>
      </c>
      <c r="F355" s="15"/>
      <c r="G355" s="16" t="str">
        <f>IF(D355="","",IFERROR(INDEX(tblProductos[COSTO TOTAL],MATCH(D355,tblProductos[ITEM],0)),""))</f>
        <v/>
      </c>
      <c r="H355" s="16" t="str">
        <f t="shared" si="11"/>
        <v/>
      </c>
      <c r="I355" s="14" t="s">
        <v>42</v>
      </c>
      <c r="J355" s="14" t="s">
        <v>43</v>
      </c>
      <c r="K355" s="14"/>
    </row>
    <row r="356" spans="1:11" x14ac:dyDescent="0.3">
      <c r="A356" s="13"/>
      <c r="B356" s="14" t="str">
        <f t="shared" si="10"/>
        <v/>
      </c>
      <c r="C356" s="14"/>
      <c r="D356" s="14"/>
      <c r="E356" s="14" t="str">
        <f>IF(D356="","",IFERROR(INDEX(tblProductos[CATEGORIA],MATCH(D356,tblProductos[ITEM],0)),""))</f>
        <v/>
      </c>
      <c r="F356" s="15"/>
      <c r="G356" s="16" t="str">
        <f>IF(D356="","",IFERROR(INDEX(tblProductos[COSTO TOTAL],MATCH(D356,tblProductos[ITEM],0)),""))</f>
        <v/>
      </c>
      <c r="H356" s="16" t="str">
        <f t="shared" si="11"/>
        <v/>
      </c>
      <c r="I356" s="14" t="s">
        <v>42</v>
      </c>
      <c r="J356" s="14" t="s">
        <v>43</v>
      </c>
      <c r="K356" s="14"/>
    </row>
    <row r="357" spans="1:11" x14ac:dyDescent="0.3">
      <c r="A357" s="13"/>
      <c r="B357" s="14" t="str">
        <f t="shared" si="10"/>
        <v/>
      </c>
      <c r="C357" s="14"/>
      <c r="D357" s="14"/>
      <c r="E357" s="14" t="str">
        <f>IF(D357="","",IFERROR(INDEX(tblProductos[CATEGORIA],MATCH(D357,tblProductos[ITEM],0)),""))</f>
        <v/>
      </c>
      <c r="F357" s="15"/>
      <c r="G357" s="16" t="str">
        <f>IF(D357="","",IFERROR(INDEX(tblProductos[COSTO TOTAL],MATCH(D357,tblProductos[ITEM],0)),""))</f>
        <v/>
      </c>
      <c r="H357" s="16" t="str">
        <f t="shared" si="11"/>
        <v/>
      </c>
      <c r="I357" s="14" t="s">
        <v>42</v>
      </c>
      <c r="J357" s="14" t="s">
        <v>43</v>
      </c>
      <c r="K357" s="14"/>
    </row>
    <row r="358" spans="1:11" x14ac:dyDescent="0.3">
      <c r="A358" s="13"/>
      <c r="B358" s="14" t="str">
        <f t="shared" si="10"/>
        <v/>
      </c>
      <c r="C358" s="14"/>
      <c r="D358" s="14"/>
      <c r="E358" s="14" t="str">
        <f>IF(D358="","",IFERROR(INDEX(tblProductos[CATEGORIA],MATCH(D358,tblProductos[ITEM],0)),""))</f>
        <v/>
      </c>
      <c r="F358" s="15"/>
      <c r="G358" s="16" t="str">
        <f>IF(D358="","",IFERROR(INDEX(tblProductos[COSTO TOTAL],MATCH(D358,tblProductos[ITEM],0)),""))</f>
        <v/>
      </c>
      <c r="H358" s="16" t="str">
        <f t="shared" si="11"/>
        <v/>
      </c>
      <c r="I358" s="14" t="s">
        <v>42</v>
      </c>
      <c r="J358" s="14" t="s">
        <v>43</v>
      </c>
      <c r="K358" s="14"/>
    </row>
    <row r="359" spans="1:11" x14ac:dyDescent="0.3">
      <c r="A359" s="13"/>
      <c r="B359" s="14" t="str">
        <f t="shared" si="10"/>
        <v/>
      </c>
      <c r="C359" s="14"/>
      <c r="D359" s="14"/>
      <c r="E359" s="14" t="str">
        <f>IF(D359="","",IFERROR(INDEX(tblProductos[CATEGORIA],MATCH(D359,tblProductos[ITEM],0)),""))</f>
        <v/>
      </c>
      <c r="F359" s="15"/>
      <c r="G359" s="16" t="str">
        <f>IF(D359="","",IFERROR(INDEX(tblProductos[COSTO TOTAL],MATCH(D359,tblProductos[ITEM],0)),""))</f>
        <v/>
      </c>
      <c r="H359" s="16" t="str">
        <f t="shared" si="11"/>
        <v/>
      </c>
      <c r="I359" s="14" t="s">
        <v>42</v>
      </c>
      <c r="J359" s="14" t="s">
        <v>43</v>
      </c>
      <c r="K359" s="14"/>
    </row>
    <row r="360" spans="1:11" x14ac:dyDescent="0.3">
      <c r="A360" s="13"/>
      <c r="B360" s="14" t="str">
        <f t="shared" si="10"/>
        <v/>
      </c>
      <c r="C360" s="14"/>
      <c r="D360" s="14"/>
      <c r="E360" s="14" t="str">
        <f>IF(D360="","",IFERROR(INDEX(tblProductos[CATEGORIA],MATCH(D360,tblProductos[ITEM],0)),""))</f>
        <v/>
      </c>
      <c r="F360" s="15"/>
      <c r="G360" s="16" t="str">
        <f>IF(D360="","",IFERROR(INDEX(tblProductos[COSTO TOTAL],MATCH(D360,tblProductos[ITEM],0)),""))</f>
        <v/>
      </c>
      <c r="H360" s="16" t="str">
        <f t="shared" si="11"/>
        <v/>
      </c>
      <c r="I360" s="14" t="s">
        <v>42</v>
      </c>
      <c r="J360" s="14" t="s">
        <v>43</v>
      </c>
      <c r="K360" s="14"/>
    </row>
    <row r="361" spans="1:11" x14ac:dyDescent="0.3">
      <c r="A361" s="13"/>
      <c r="B361" s="14" t="str">
        <f t="shared" si="10"/>
        <v/>
      </c>
      <c r="C361" s="14"/>
      <c r="D361" s="14"/>
      <c r="E361" s="14" t="str">
        <f>IF(D361="","",IFERROR(INDEX(tblProductos[CATEGORIA],MATCH(D361,tblProductos[ITEM],0)),""))</f>
        <v/>
      </c>
      <c r="F361" s="15"/>
      <c r="G361" s="16" t="str">
        <f>IF(D361="","",IFERROR(INDEX(tblProductos[COSTO TOTAL],MATCH(D361,tblProductos[ITEM],0)),""))</f>
        <v/>
      </c>
      <c r="H361" s="16" t="str">
        <f t="shared" si="11"/>
        <v/>
      </c>
      <c r="I361" s="14" t="s">
        <v>42</v>
      </c>
      <c r="J361" s="14" t="s">
        <v>43</v>
      </c>
      <c r="K361" s="14"/>
    </row>
    <row r="362" spans="1:11" x14ac:dyDescent="0.3">
      <c r="A362" s="13"/>
      <c r="B362" s="14" t="str">
        <f t="shared" si="10"/>
        <v/>
      </c>
      <c r="C362" s="14"/>
      <c r="D362" s="14"/>
      <c r="E362" s="14" t="str">
        <f>IF(D362="","",IFERROR(INDEX(tblProductos[CATEGORIA],MATCH(D362,tblProductos[ITEM],0)),""))</f>
        <v/>
      </c>
      <c r="F362" s="15"/>
      <c r="G362" s="16" t="str">
        <f>IF(D362="","",IFERROR(INDEX(tblProductos[COSTO TOTAL],MATCH(D362,tblProductos[ITEM],0)),""))</f>
        <v/>
      </c>
      <c r="H362" s="16" t="str">
        <f t="shared" si="11"/>
        <v/>
      </c>
      <c r="I362" s="14" t="s">
        <v>42</v>
      </c>
      <c r="J362" s="14" t="s">
        <v>43</v>
      </c>
      <c r="K362" s="14"/>
    </row>
    <row r="363" spans="1:11" x14ac:dyDescent="0.3">
      <c r="A363" s="13"/>
      <c r="B363" s="14" t="str">
        <f t="shared" si="10"/>
        <v/>
      </c>
      <c r="C363" s="14"/>
      <c r="D363" s="14"/>
      <c r="E363" s="14" t="str">
        <f>IF(D363="","",IFERROR(INDEX(tblProductos[CATEGORIA],MATCH(D363,tblProductos[ITEM],0)),""))</f>
        <v/>
      </c>
      <c r="F363" s="15"/>
      <c r="G363" s="16" t="str">
        <f>IF(D363="","",IFERROR(INDEX(tblProductos[COSTO TOTAL],MATCH(D363,tblProductos[ITEM],0)),""))</f>
        <v/>
      </c>
      <c r="H363" s="16" t="str">
        <f t="shared" si="11"/>
        <v/>
      </c>
      <c r="I363" s="14" t="s">
        <v>42</v>
      </c>
      <c r="J363" s="14" t="s">
        <v>43</v>
      </c>
      <c r="K363" s="14"/>
    </row>
    <row r="364" spans="1:11" x14ac:dyDescent="0.3">
      <c r="A364" s="13"/>
      <c r="B364" s="14" t="str">
        <f t="shared" si="10"/>
        <v/>
      </c>
      <c r="C364" s="14"/>
      <c r="D364" s="14"/>
      <c r="E364" s="14" t="str">
        <f>IF(D364="","",IFERROR(INDEX(tblProductos[CATEGORIA],MATCH(D364,tblProductos[ITEM],0)),""))</f>
        <v/>
      </c>
      <c r="F364" s="15"/>
      <c r="G364" s="16" t="str">
        <f>IF(D364="","",IFERROR(INDEX(tblProductos[COSTO TOTAL],MATCH(D364,tblProductos[ITEM],0)),""))</f>
        <v/>
      </c>
      <c r="H364" s="16" t="str">
        <f t="shared" si="11"/>
        <v/>
      </c>
      <c r="I364" s="14" t="s">
        <v>42</v>
      </c>
      <c r="J364" s="14" t="s">
        <v>43</v>
      </c>
      <c r="K364" s="14"/>
    </row>
    <row r="365" spans="1:11" x14ac:dyDescent="0.3">
      <c r="A365" s="13"/>
      <c r="B365" s="14" t="str">
        <f t="shared" si="10"/>
        <v/>
      </c>
      <c r="C365" s="14"/>
      <c r="D365" s="14"/>
      <c r="E365" s="14" t="str">
        <f>IF(D365="","",IFERROR(INDEX(tblProductos[CATEGORIA],MATCH(D365,tblProductos[ITEM],0)),""))</f>
        <v/>
      </c>
      <c r="F365" s="15"/>
      <c r="G365" s="16" t="str">
        <f>IF(D365="","",IFERROR(INDEX(tblProductos[COSTO TOTAL],MATCH(D365,tblProductos[ITEM],0)),""))</f>
        <v/>
      </c>
      <c r="H365" s="16" t="str">
        <f t="shared" si="11"/>
        <v/>
      </c>
      <c r="I365" s="14" t="s">
        <v>42</v>
      </c>
      <c r="J365" s="14" t="s">
        <v>43</v>
      </c>
      <c r="K365" s="14"/>
    </row>
    <row r="366" spans="1:11" x14ac:dyDescent="0.3">
      <c r="A366" s="13"/>
      <c r="B366" s="14" t="str">
        <f t="shared" si="10"/>
        <v/>
      </c>
      <c r="C366" s="14"/>
      <c r="D366" s="14"/>
      <c r="E366" s="14" t="str">
        <f>IF(D366="","",IFERROR(INDEX(tblProductos[CATEGORIA],MATCH(D366,tblProductos[ITEM],0)),""))</f>
        <v/>
      </c>
      <c r="F366" s="15"/>
      <c r="G366" s="16" t="str">
        <f>IF(D366="","",IFERROR(INDEX(tblProductos[COSTO TOTAL],MATCH(D366,tblProductos[ITEM],0)),""))</f>
        <v/>
      </c>
      <c r="H366" s="16" t="str">
        <f t="shared" si="11"/>
        <v/>
      </c>
      <c r="I366" s="14" t="s">
        <v>42</v>
      </c>
      <c r="J366" s="14" t="s">
        <v>43</v>
      </c>
      <c r="K366" s="14"/>
    </row>
    <row r="367" spans="1:11" x14ac:dyDescent="0.3">
      <c r="A367" s="13"/>
      <c r="B367" s="14" t="str">
        <f t="shared" si="10"/>
        <v/>
      </c>
      <c r="C367" s="14"/>
      <c r="D367" s="14"/>
      <c r="E367" s="14" t="str">
        <f>IF(D367="","",IFERROR(INDEX(tblProductos[CATEGORIA],MATCH(D367,tblProductos[ITEM],0)),""))</f>
        <v/>
      </c>
      <c r="F367" s="15"/>
      <c r="G367" s="16" t="str">
        <f>IF(D367="","",IFERROR(INDEX(tblProductos[COSTO TOTAL],MATCH(D367,tblProductos[ITEM],0)),""))</f>
        <v/>
      </c>
      <c r="H367" s="16" t="str">
        <f t="shared" si="11"/>
        <v/>
      </c>
      <c r="I367" s="14" t="s">
        <v>42</v>
      </c>
      <c r="J367" s="14" t="s">
        <v>43</v>
      </c>
      <c r="K367" s="14"/>
    </row>
    <row r="368" spans="1:11" x14ac:dyDescent="0.3">
      <c r="A368" s="13"/>
      <c r="B368" s="14" t="str">
        <f t="shared" si="10"/>
        <v/>
      </c>
      <c r="C368" s="14"/>
      <c r="D368" s="14"/>
      <c r="E368" s="14" t="str">
        <f>IF(D368="","",IFERROR(INDEX(tblProductos[CATEGORIA],MATCH(D368,tblProductos[ITEM],0)),""))</f>
        <v/>
      </c>
      <c r="F368" s="15"/>
      <c r="G368" s="16" t="str">
        <f>IF(D368="","",IFERROR(INDEX(tblProductos[COSTO TOTAL],MATCH(D368,tblProductos[ITEM],0)),""))</f>
        <v/>
      </c>
      <c r="H368" s="16" t="str">
        <f t="shared" si="11"/>
        <v/>
      </c>
      <c r="I368" s="14" t="s">
        <v>42</v>
      </c>
      <c r="J368" s="14" t="s">
        <v>43</v>
      </c>
      <c r="K368" s="14"/>
    </row>
    <row r="369" spans="1:11" x14ac:dyDescent="0.3">
      <c r="A369" s="13"/>
      <c r="B369" s="14" t="str">
        <f t="shared" si="10"/>
        <v/>
      </c>
      <c r="C369" s="14"/>
      <c r="D369" s="14"/>
      <c r="E369" s="14" t="str">
        <f>IF(D369="","",IFERROR(INDEX(tblProductos[CATEGORIA],MATCH(D369,tblProductos[ITEM],0)),""))</f>
        <v/>
      </c>
      <c r="F369" s="15"/>
      <c r="G369" s="16" t="str">
        <f>IF(D369="","",IFERROR(INDEX(tblProductos[COSTO TOTAL],MATCH(D369,tblProductos[ITEM],0)),""))</f>
        <v/>
      </c>
      <c r="H369" s="16" t="str">
        <f t="shared" si="11"/>
        <v/>
      </c>
      <c r="I369" s="14" t="s">
        <v>42</v>
      </c>
      <c r="J369" s="14" t="s">
        <v>43</v>
      </c>
      <c r="K369" s="14"/>
    </row>
    <row r="370" spans="1:11" x14ac:dyDescent="0.3">
      <c r="A370" s="13"/>
      <c r="B370" s="14" t="str">
        <f t="shared" si="10"/>
        <v/>
      </c>
      <c r="C370" s="14"/>
      <c r="D370" s="14"/>
      <c r="E370" s="14" t="str">
        <f>IF(D370="","",IFERROR(INDEX(tblProductos[CATEGORIA],MATCH(D370,tblProductos[ITEM],0)),""))</f>
        <v/>
      </c>
      <c r="F370" s="15"/>
      <c r="G370" s="16" t="str">
        <f>IF(D370="","",IFERROR(INDEX(tblProductos[COSTO TOTAL],MATCH(D370,tblProductos[ITEM],0)),""))</f>
        <v/>
      </c>
      <c r="H370" s="16" t="str">
        <f t="shared" si="11"/>
        <v/>
      </c>
      <c r="I370" s="14" t="s">
        <v>42</v>
      </c>
      <c r="J370" s="14" t="s">
        <v>43</v>
      </c>
      <c r="K370" s="14"/>
    </row>
    <row r="371" spans="1:11" x14ac:dyDescent="0.3">
      <c r="A371" s="13"/>
      <c r="B371" s="14" t="str">
        <f t="shared" si="10"/>
        <v/>
      </c>
      <c r="C371" s="14"/>
      <c r="D371" s="14"/>
      <c r="E371" s="14" t="str">
        <f>IF(D371="","",IFERROR(INDEX(tblProductos[CATEGORIA],MATCH(D371,tblProductos[ITEM],0)),""))</f>
        <v/>
      </c>
      <c r="F371" s="15"/>
      <c r="G371" s="16" t="str">
        <f>IF(D371="","",IFERROR(INDEX(tblProductos[COSTO TOTAL],MATCH(D371,tblProductos[ITEM],0)),""))</f>
        <v/>
      </c>
      <c r="H371" s="16" t="str">
        <f t="shared" si="11"/>
        <v/>
      </c>
      <c r="I371" s="14" t="s">
        <v>42</v>
      </c>
      <c r="J371" s="14" t="s">
        <v>43</v>
      </c>
      <c r="K371" s="14"/>
    </row>
    <row r="372" spans="1:11" x14ac:dyDescent="0.3">
      <c r="A372" s="13"/>
      <c r="B372" s="14" t="str">
        <f t="shared" si="10"/>
        <v/>
      </c>
      <c r="C372" s="14"/>
      <c r="D372" s="14"/>
      <c r="E372" s="14" t="str">
        <f>IF(D372="","",IFERROR(INDEX(tblProductos[CATEGORIA],MATCH(D372,tblProductos[ITEM],0)),""))</f>
        <v/>
      </c>
      <c r="F372" s="15"/>
      <c r="G372" s="16" t="str">
        <f>IF(D372="","",IFERROR(INDEX(tblProductos[COSTO TOTAL],MATCH(D372,tblProductos[ITEM],0)),""))</f>
        <v/>
      </c>
      <c r="H372" s="16" t="str">
        <f t="shared" si="11"/>
        <v/>
      </c>
      <c r="I372" s="14" t="s">
        <v>42</v>
      </c>
      <c r="J372" s="14" t="s">
        <v>43</v>
      </c>
      <c r="K372" s="14"/>
    </row>
    <row r="373" spans="1:11" x14ac:dyDescent="0.3">
      <c r="A373" s="13"/>
      <c r="B373" s="14" t="str">
        <f t="shared" si="10"/>
        <v/>
      </c>
      <c r="C373" s="14"/>
      <c r="D373" s="14"/>
      <c r="E373" s="14" t="str">
        <f>IF(D373="","",IFERROR(INDEX(tblProductos[CATEGORIA],MATCH(D373,tblProductos[ITEM],0)),""))</f>
        <v/>
      </c>
      <c r="F373" s="15"/>
      <c r="G373" s="16" t="str">
        <f>IF(D373="","",IFERROR(INDEX(tblProductos[COSTO TOTAL],MATCH(D373,tblProductos[ITEM],0)),""))</f>
        <v/>
      </c>
      <c r="H373" s="16" t="str">
        <f t="shared" si="11"/>
        <v/>
      </c>
      <c r="I373" s="14" t="s">
        <v>42</v>
      </c>
      <c r="J373" s="14" t="s">
        <v>43</v>
      </c>
      <c r="K373" s="14"/>
    </row>
    <row r="374" spans="1:11" x14ac:dyDescent="0.3">
      <c r="A374" s="13"/>
      <c r="B374" s="14" t="str">
        <f t="shared" si="10"/>
        <v/>
      </c>
      <c r="C374" s="14"/>
      <c r="D374" s="14"/>
      <c r="E374" s="14" t="str">
        <f>IF(D374="","",IFERROR(INDEX(tblProductos[CATEGORIA],MATCH(D374,tblProductos[ITEM],0)),""))</f>
        <v/>
      </c>
      <c r="F374" s="15"/>
      <c r="G374" s="16" t="str">
        <f>IF(D374="","",IFERROR(INDEX(tblProductos[COSTO TOTAL],MATCH(D374,tblProductos[ITEM],0)),""))</f>
        <v/>
      </c>
      <c r="H374" s="16" t="str">
        <f t="shared" si="11"/>
        <v/>
      </c>
      <c r="I374" s="14" t="s">
        <v>42</v>
      </c>
      <c r="J374" s="14" t="s">
        <v>43</v>
      </c>
      <c r="K374" s="14"/>
    </row>
    <row r="375" spans="1:11" x14ac:dyDescent="0.3">
      <c r="A375" s="13"/>
      <c r="B375" s="14" t="str">
        <f t="shared" si="10"/>
        <v/>
      </c>
      <c r="C375" s="14"/>
      <c r="D375" s="14"/>
      <c r="E375" s="14" t="str">
        <f>IF(D375="","",IFERROR(INDEX(tblProductos[CATEGORIA],MATCH(D375,tblProductos[ITEM],0)),""))</f>
        <v/>
      </c>
      <c r="F375" s="15"/>
      <c r="G375" s="16" t="str">
        <f>IF(D375="","",IFERROR(INDEX(tblProductos[COSTO TOTAL],MATCH(D375,tblProductos[ITEM],0)),""))</f>
        <v/>
      </c>
      <c r="H375" s="16" t="str">
        <f t="shared" si="11"/>
        <v/>
      </c>
      <c r="I375" s="14" t="s">
        <v>42</v>
      </c>
      <c r="J375" s="14" t="s">
        <v>43</v>
      </c>
      <c r="K375" s="14"/>
    </row>
    <row r="376" spans="1:11" x14ac:dyDescent="0.3">
      <c r="A376" s="13"/>
      <c r="B376" s="14" t="str">
        <f t="shared" si="10"/>
        <v/>
      </c>
      <c r="C376" s="14"/>
      <c r="D376" s="14"/>
      <c r="E376" s="14" t="str">
        <f>IF(D376="","",IFERROR(INDEX(tblProductos[CATEGORIA],MATCH(D376,tblProductos[ITEM],0)),""))</f>
        <v/>
      </c>
      <c r="F376" s="15"/>
      <c r="G376" s="16" t="str">
        <f>IF(D376="","",IFERROR(INDEX(tblProductos[COSTO TOTAL],MATCH(D376,tblProductos[ITEM],0)),""))</f>
        <v/>
      </c>
      <c r="H376" s="16" t="str">
        <f t="shared" si="11"/>
        <v/>
      </c>
      <c r="I376" s="14" t="s">
        <v>42</v>
      </c>
      <c r="J376" s="14" t="s">
        <v>43</v>
      </c>
      <c r="K376" s="14"/>
    </row>
    <row r="377" spans="1:11" x14ac:dyDescent="0.3">
      <c r="A377" s="13"/>
      <c r="B377" s="14" t="str">
        <f t="shared" si="10"/>
        <v/>
      </c>
      <c r="C377" s="14"/>
      <c r="D377" s="14"/>
      <c r="E377" s="14" t="str">
        <f>IF(D377="","",IFERROR(INDEX(tblProductos[CATEGORIA],MATCH(D377,tblProductos[ITEM],0)),""))</f>
        <v/>
      </c>
      <c r="F377" s="15"/>
      <c r="G377" s="16" t="str">
        <f>IF(D377="","",IFERROR(INDEX(tblProductos[COSTO TOTAL],MATCH(D377,tblProductos[ITEM],0)),""))</f>
        <v/>
      </c>
      <c r="H377" s="16" t="str">
        <f t="shared" si="11"/>
        <v/>
      </c>
      <c r="I377" s="14" t="s">
        <v>42</v>
      </c>
      <c r="J377" s="14" t="s">
        <v>43</v>
      </c>
      <c r="K377" s="14"/>
    </row>
    <row r="378" spans="1:11" x14ac:dyDescent="0.3">
      <c r="A378" s="13"/>
      <c r="B378" s="14" t="str">
        <f t="shared" si="10"/>
        <v/>
      </c>
      <c r="C378" s="14"/>
      <c r="D378" s="14"/>
      <c r="E378" s="14" t="str">
        <f>IF(D378="","",IFERROR(INDEX(tblProductos[CATEGORIA],MATCH(D378,tblProductos[ITEM],0)),""))</f>
        <v/>
      </c>
      <c r="F378" s="15"/>
      <c r="G378" s="16" t="str">
        <f>IF(D378="","",IFERROR(INDEX(tblProductos[COSTO TOTAL],MATCH(D378,tblProductos[ITEM],0)),""))</f>
        <v/>
      </c>
      <c r="H378" s="16" t="str">
        <f t="shared" si="11"/>
        <v/>
      </c>
      <c r="I378" s="14" t="s">
        <v>42</v>
      </c>
      <c r="J378" s="14" t="s">
        <v>43</v>
      </c>
      <c r="K378" s="14"/>
    </row>
    <row r="379" spans="1:11" x14ac:dyDescent="0.3">
      <c r="A379" s="13"/>
      <c r="B379" s="14" t="str">
        <f t="shared" si="10"/>
        <v/>
      </c>
      <c r="C379" s="14"/>
      <c r="D379" s="14"/>
      <c r="E379" s="14" t="str">
        <f>IF(D379="","",IFERROR(INDEX(tblProductos[CATEGORIA],MATCH(D379,tblProductos[ITEM],0)),""))</f>
        <v/>
      </c>
      <c r="F379" s="15"/>
      <c r="G379" s="16" t="str">
        <f>IF(D379="","",IFERROR(INDEX(tblProductos[COSTO TOTAL],MATCH(D379,tblProductos[ITEM],0)),""))</f>
        <v/>
      </c>
      <c r="H379" s="16" t="str">
        <f t="shared" si="11"/>
        <v/>
      </c>
      <c r="I379" s="14" t="s">
        <v>42</v>
      </c>
      <c r="J379" s="14" t="s">
        <v>43</v>
      </c>
      <c r="K379" s="14"/>
    </row>
    <row r="380" spans="1:11" x14ac:dyDescent="0.3">
      <c r="A380" s="13"/>
      <c r="B380" s="14" t="str">
        <f t="shared" si="10"/>
        <v/>
      </c>
      <c r="C380" s="14"/>
      <c r="D380" s="14"/>
      <c r="E380" s="14" t="str">
        <f>IF(D380="","",IFERROR(INDEX(tblProductos[CATEGORIA],MATCH(D380,tblProductos[ITEM],0)),""))</f>
        <v/>
      </c>
      <c r="F380" s="15"/>
      <c r="G380" s="16" t="str">
        <f>IF(D380="","",IFERROR(INDEX(tblProductos[COSTO TOTAL],MATCH(D380,tblProductos[ITEM],0)),""))</f>
        <v/>
      </c>
      <c r="H380" s="16" t="str">
        <f t="shared" si="11"/>
        <v/>
      </c>
      <c r="I380" s="14" t="s">
        <v>42</v>
      </c>
      <c r="J380" s="14" t="s">
        <v>43</v>
      </c>
      <c r="K380" s="14"/>
    </row>
    <row r="381" spans="1:11" x14ac:dyDescent="0.3">
      <c r="A381" s="13"/>
      <c r="B381" s="14" t="str">
        <f t="shared" si="10"/>
        <v/>
      </c>
      <c r="C381" s="14"/>
      <c r="D381" s="14"/>
      <c r="E381" s="14" t="str">
        <f>IF(D381="","",IFERROR(INDEX(tblProductos[CATEGORIA],MATCH(D381,tblProductos[ITEM],0)),""))</f>
        <v/>
      </c>
      <c r="F381" s="15"/>
      <c r="G381" s="16" t="str">
        <f>IF(D381="","",IFERROR(INDEX(tblProductos[COSTO TOTAL],MATCH(D381,tblProductos[ITEM],0)),""))</f>
        <v/>
      </c>
      <c r="H381" s="16" t="str">
        <f t="shared" si="11"/>
        <v/>
      </c>
      <c r="I381" s="14" t="s">
        <v>42</v>
      </c>
      <c r="J381" s="14" t="s">
        <v>43</v>
      </c>
      <c r="K381" s="14"/>
    </row>
    <row r="382" spans="1:11" x14ac:dyDescent="0.3">
      <c r="A382" s="13"/>
      <c r="B382" s="14" t="str">
        <f t="shared" si="10"/>
        <v/>
      </c>
      <c r="C382" s="14"/>
      <c r="D382" s="14"/>
      <c r="E382" s="14" t="str">
        <f>IF(D382="","",IFERROR(INDEX(tblProductos[CATEGORIA],MATCH(D382,tblProductos[ITEM],0)),""))</f>
        <v/>
      </c>
      <c r="F382" s="15"/>
      <c r="G382" s="16" t="str">
        <f>IF(D382="","",IFERROR(INDEX(tblProductos[COSTO TOTAL],MATCH(D382,tblProductos[ITEM],0)),""))</f>
        <v/>
      </c>
      <c r="H382" s="16" t="str">
        <f t="shared" si="11"/>
        <v/>
      </c>
      <c r="I382" s="14" t="s">
        <v>42</v>
      </c>
      <c r="J382" s="14" t="s">
        <v>43</v>
      </c>
      <c r="K382" s="14"/>
    </row>
    <row r="383" spans="1:11" x14ac:dyDescent="0.3">
      <c r="A383" s="13"/>
      <c r="B383" s="14" t="str">
        <f t="shared" si="10"/>
        <v/>
      </c>
      <c r="C383" s="14"/>
      <c r="D383" s="14"/>
      <c r="E383" s="14" t="str">
        <f>IF(D383="","",IFERROR(INDEX(tblProductos[CATEGORIA],MATCH(D383,tblProductos[ITEM],0)),""))</f>
        <v/>
      </c>
      <c r="F383" s="15"/>
      <c r="G383" s="16" t="str">
        <f>IF(D383="","",IFERROR(INDEX(tblProductos[COSTO TOTAL],MATCH(D383,tblProductos[ITEM],0)),""))</f>
        <v/>
      </c>
      <c r="H383" s="16" t="str">
        <f t="shared" si="11"/>
        <v/>
      </c>
      <c r="I383" s="14" t="s">
        <v>42</v>
      </c>
      <c r="J383" s="14" t="s">
        <v>43</v>
      </c>
      <c r="K383" s="14"/>
    </row>
    <row r="384" spans="1:11" x14ac:dyDescent="0.3">
      <c r="A384" s="13"/>
      <c r="B384" s="14" t="str">
        <f t="shared" si="10"/>
        <v/>
      </c>
      <c r="C384" s="14"/>
      <c r="D384" s="14"/>
      <c r="E384" s="14" t="str">
        <f>IF(D384="","",IFERROR(INDEX(tblProductos[CATEGORIA],MATCH(D384,tblProductos[ITEM],0)),""))</f>
        <v/>
      </c>
      <c r="F384" s="15"/>
      <c r="G384" s="16" t="str">
        <f>IF(D384="","",IFERROR(INDEX(tblProductos[COSTO TOTAL],MATCH(D384,tblProductos[ITEM],0)),""))</f>
        <v/>
      </c>
      <c r="H384" s="16" t="str">
        <f t="shared" si="11"/>
        <v/>
      </c>
      <c r="I384" s="14" t="s">
        <v>42</v>
      </c>
      <c r="J384" s="14" t="s">
        <v>43</v>
      </c>
      <c r="K384" s="14"/>
    </row>
    <row r="385" spans="1:11" x14ac:dyDescent="0.3">
      <c r="A385" s="13"/>
      <c r="B385" s="14" t="str">
        <f t="shared" si="10"/>
        <v/>
      </c>
      <c r="C385" s="14"/>
      <c r="D385" s="14"/>
      <c r="E385" s="14" t="str">
        <f>IF(D385="","",IFERROR(INDEX(tblProductos[CATEGORIA],MATCH(D385,tblProductos[ITEM],0)),""))</f>
        <v/>
      </c>
      <c r="F385" s="15"/>
      <c r="G385" s="16" t="str">
        <f>IF(D385="","",IFERROR(INDEX(tblProductos[COSTO TOTAL],MATCH(D385,tblProductos[ITEM],0)),""))</f>
        <v/>
      </c>
      <c r="H385" s="16" t="str">
        <f t="shared" si="11"/>
        <v/>
      </c>
      <c r="I385" s="14" t="s">
        <v>42</v>
      </c>
      <c r="J385" s="14" t="s">
        <v>43</v>
      </c>
      <c r="K385" s="14"/>
    </row>
    <row r="386" spans="1:11" x14ac:dyDescent="0.3">
      <c r="A386" s="13"/>
      <c r="B386" s="14" t="str">
        <f t="shared" ref="B386:B401" si="12">IF(A386="","", "C"&amp;TEXT(A386,"yymmdd")&amp;"-"&amp;TEXT(ROW()-1,"0000"))</f>
        <v/>
      </c>
      <c r="C386" s="14"/>
      <c r="D386" s="14"/>
      <c r="E386" s="14" t="str">
        <f>IF(D386="","",IFERROR(INDEX(tblProductos[CATEGORIA],MATCH(D386,tblProductos[ITEM],0)),""))</f>
        <v/>
      </c>
      <c r="F386" s="15"/>
      <c r="G386" s="16" t="str">
        <f>IF(D386="","",IFERROR(INDEX(tblProductos[COSTO TOTAL],MATCH(D386,tblProductos[ITEM],0)),""))</f>
        <v/>
      </c>
      <c r="H386" s="16" t="str">
        <f t="shared" ref="H386:H401" si="13">IF(F386="","",F386*G386)</f>
        <v/>
      </c>
      <c r="I386" s="14" t="s">
        <v>42</v>
      </c>
      <c r="J386" s="14" t="s">
        <v>43</v>
      </c>
      <c r="K386" s="14"/>
    </row>
    <row r="387" spans="1:11" x14ac:dyDescent="0.3">
      <c r="A387" s="13"/>
      <c r="B387" s="14" t="str">
        <f t="shared" si="12"/>
        <v/>
      </c>
      <c r="C387" s="14"/>
      <c r="D387" s="14"/>
      <c r="E387" s="14" t="str">
        <f>IF(D387="","",IFERROR(INDEX(tblProductos[CATEGORIA],MATCH(D387,tblProductos[ITEM],0)),""))</f>
        <v/>
      </c>
      <c r="F387" s="15"/>
      <c r="G387" s="16" t="str">
        <f>IF(D387="","",IFERROR(INDEX(tblProductos[COSTO TOTAL],MATCH(D387,tblProductos[ITEM],0)),""))</f>
        <v/>
      </c>
      <c r="H387" s="16" t="str">
        <f t="shared" si="13"/>
        <v/>
      </c>
      <c r="I387" s="14" t="s">
        <v>42</v>
      </c>
      <c r="J387" s="14" t="s">
        <v>43</v>
      </c>
      <c r="K387" s="14"/>
    </row>
    <row r="388" spans="1:11" x14ac:dyDescent="0.3">
      <c r="A388" s="13"/>
      <c r="B388" s="14" t="str">
        <f t="shared" si="12"/>
        <v/>
      </c>
      <c r="C388" s="14"/>
      <c r="D388" s="14"/>
      <c r="E388" s="14" t="str">
        <f>IF(D388="","",IFERROR(INDEX(tblProductos[CATEGORIA],MATCH(D388,tblProductos[ITEM],0)),""))</f>
        <v/>
      </c>
      <c r="F388" s="15"/>
      <c r="G388" s="16" t="str">
        <f>IF(D388="","",IFERROR(INDEX(tblProductos[COSTO TOTAL],MATCH(D388,tblProductos[ITEM],0)),""))</f>
        <v/>
      </c>
      <c r="H388" s="16" t="str">
        <f t="shared" si="13"/>
        <v/>
      </c>
      <c r="I388" s="14" t="s">
        <v>42</v>
      </c>
      <c r="J388" s="14" t="s">
        <v>43</v>
      </c>
      <c r="K388" s="14"/>
    </row>
    <row r="389" spans="1:11" x14ac:dyDescent="0.3">
      <c r="A389" s="13"/>
      <c r="B389" s="14" t="str">
        <f t="shared" si="12"/>
        <v/>
      </c>
      <c r="C389" s="14"/>
      <c r="D389" s="14"/>
      <c r="E389" s="14" t="str">
        <f>IF(D389="","",IFERROR(INDEX(tblProductos[CATEGORIA],MATCH(D389,tblProductos[ITEM],0)),""))</f>
        <v/>
      </c>
      <c r="F389" s="15"/>
      <c r="G389" s="16" t="str">
        <f>IF(D389="","",IFERROR(INDEX(tblProductos[COSTO TOTAL],MATCH(D389,tblProductos[ITEM],0)),""))</f>
        <v/>
      </c>
      <c r="H389" s="16" t="str">
        <f t="shared" si="13"/>
        <v/>
      </c>
      <c r="I389" s="14" t="s">
        <v>42</v>
      </c>
      <c r="J389" s="14" t="s">
        <v>43</v>
      </c>
      <c r="K389" s="14"/>
    </row>
    <row r="390" spans="1:11" x14ac:dyDescent="0.3">
      <c r="A390" s="13"/>
      <c r="B390" s="14" t="str">
        <f t="shared" si="12"/>
        <v/>
      </c>
      <c r="C390" s="14"/>
      <c r="D390" s="14"/>
      <c r="E390" s="14" t="str">
        <f>IF(D390="","",IFERROR(INDEX(tblProductos[CATEGORIA],MATCH(D390,tblProductos[ITEM],0)),""))</f>
        <v/>
      </c>
      <c r="F390" s="15"/>
      <c r="G390" s="16" t="str">
        <f>IF(D390="","",IFERROR(INDEX(tblProductos[COSTO TOTAL],MATCH(D390,tblProductos[ITEM],0)),""))</f>
        <v/>
      </c>
      <c r="H390" s="16" t="str">
        <f t="shared" si="13"/>
        <v/>
      </c>
      <c r="I390" s="14" t="s">
        <v>42</v>
      </c>
      <c r="J390" s="14" t="s">
        <v>43</v>
      </c>
      <c r="K390" s="14"/>
    </row>
    <row r="391" spans="1:11" x14ac:dyDescent="0.3">
      <c r="A391" s="13"/>
      <c r="B391" s="14" t="str">
        <f t="shared" si="12"/>
        <v/>
      </c>
      <c r="C391" s="14"/>
      <c r="D391" s="14"/>
      <c r="E391" s="14" t="str">
        <f>IF(D391="","",IFERROR(INDEX(tblProductos[CATEGORIA],MATCH(D391,tblProductos[ITEM],0)),""))</f>
        <v/>
      </c>
      <c r="F391" s="15"/>
      <c r="G391" s="16" t="str">
        <f>IF(D391="","",IFERROR(INDEX(tblProductos[COSTO TOTAL],MATCH(D391,tblProductos[ITEM],0)),""))</f>
        <v/>
      </c>
      <c r="H391" s="16" t="str">
        <f t="shared" si="13"/>
        <v/>
      </c>
      <c r="I391" s="14" t="s">
        <v>42</v>
      </c>
      <c r="J391" s="14" t="s">
        <v>43</v>
      </c>
      <c r="K391" s="14"/>
    </row>
    <row r="392" spans="1:11" x14ac:dyDescent="0.3">
      <c r="A392" s="13"/>
      <c r="B392" s="14" t="str">
        <f t="shared" si="12"/>
        <v/>
      </c>
      <c r="C392" s="14"/>
      <c r="D392" s="14"/>
      <c r="E392" s="14" t="str">
        <f>IF(D392="","",IFERROR(INDEX(tblProductos[CATEGORIA],MATCH(D392,tblProductos[ITEM],0)),""))</f>
        <v/>
      </c>
      <c r="F392" s="15"/>
      <c r="G392" s="16" t="str">
        <f>IF(D392="","",IFERROR(INDEX(tblProductos[COSTO TOTAL],MATCH(D392,tblProductos[ITEM],0)),""))</f>
        <v/>
      </c>
      <c r="H392" s="16" t="str">
        <f t="shared" si="13"/>
        <v/>
      </c>
      <c r="I392" s="14" t="s">
        <v>42</v>
      </c>
      <c r="J392" s="14" t="s">
        <v>43</v>
      </c>
      <c r="K392" s="14"/>
    </row>
    <row r="393" spans="1:11" x14ac:dyDescent="0.3">
      <c r="A393" s="13"/>
      <c r="B393" s="14" t="str">
        <f t="shared" si="12"/>
        <v/>
      </c>
      <c r="C393" s="14"/>
      <c r="D393" s="14"/>
      <c r="E393" s="14" t="str">
        <f>IF(D393="","",IFERROR(INDEX(tblProductos[CATEGORIA],MATCH(D393,tblProductos[ITEM],0)),""))</f>
        <v/>
      </c>
      <c r="F393" s="15"/>
      <c r="G393" s="16" t="str">
        <f>IF(D393="","",IFERROR(INDEX(tblProductos[COSTO TOTAL],MATCH(D393,tblProductos[ITEM],0)),""))</f>
        <v/>
      </c>
      <c r="H393" s="16" t="str">
        <f t="shared" si="13"/>
        <v/>
      </c>
      <c r="I393" s="14" t="s">
        <v>42</v>
      </c>
      <c r="J393" s="14" t="s">
        <v>43</v>
      </c>
      <c r="K393" s="14"/>
    </row>
    <row r="394" spans="1:11" x14ac:dyDescent="0.3">
      <c r="A394" s="13"/>
      <c r="B394" s="14" t="str">
        <f t="shared" si="12"/>
        <v/>
      </c>
      <c r="C394" s="14"/>
      <c r="D394" s="14"/>
      <c r="E394" s="14" t="str">
        <f>IF(D394="","",IFERROR(INDEX(tblProductos[CATEGORIA],MATCH(D394,tblProductos[ITEM],0)),""))</f>
        <v/>
      </c>
      <c r="F394" s="15"/>
      <c r="G394" s="16" t="str">
        <f>IF(D394="","",IFERROR(INDEX(tblProductos[COSTO TOTAL],MATCH(D394,tblProductos[ITEM],0)),""))</f>
        <v/>
      </c>
      <c r="H394" s="16" t="str">
        <f t="shared" si="13"/>
        <v/>
      </c>
      <c r="I394" s="14" t="s">
        <v>42</v>
      </c>
      <c r="J394" s="14" t="s">
        <v>43</v>
      </c>
      <c r="K394" s="14"/>
    </row>
    <row r="395" spans="1:11" x14ac:dyDescent="0.3">
      <c r="A395" s="13"/>
      <c r="B395" s="14" t="str">
        <f t="shared" si="12"/>
        <v/>
      </c>
      <c r="C395" s="14"/>
      <c r="D395" s="14"/>
      <c r="E395" s="14" t="str">
        <f>IF(D395="","",IFERROR(INDEX(tblProductos[CATEGORIA],MATCH(D395,tblProductos[ITEM],0)),""))</f>
        <v/>
      </c>
      <c r="F395" s="15"/>
      <c r="G395" s="16" t="str">
        <f>IF(D395="","",IFERROR(INDEX(tblProductos[COSTO TOTAL],MATCH(D395,tblProductos[ITEM],0)),""))</f>
        <v/>
      </c>
      <c r="H395" s="16" t="str">
        <f t="shared" si="13"/>
        <v/>
      </c>
      <c r="I395" s="14" t="s">
        <v>42</v>
      </c>
      <c r="J395" s="14" t="s">
        <v>43</v>
      </c>
      <c r="K395" s="14"/>
    </row>
    <row r="396" spans="1:11" x14ac:dyDescent="0.3">
      <c r="A396" s="13"/>
      <c r="B396" s="14" t="str">
        <f t="shared" si="12"/>
        <v/>
      </c>
      <c r="C396" s="14"/>
      <c r="D396" s="14"/>
      <c r="E396" s="14" t="str">
        <f>IF(D396="","",IFERROR(INDEX(tblProductos[CATEGORIA],MATCH(D396,tblProductos[ITEM],0)),""))</f>
        <v/>
      </c>
      <c r="F396" s="15"/>
      <c r="G396" s="16" t="str">
        <f>IF(D396="","",IFERROR(INDEX(tblProductos[COSTO TOTAL],MATCH(D396,tblProductos[ITEM],0)),""))</f>
        <v/>
      </c>
      <c r="H396" s="16" t="str">
        <f t="shared" si="13"/>
        <v/>
      </c>
      <c r="I396" s="14" t="s">
        <v>42</v>
      </c>
      <c r="J396" s="14" t="s">
        <v>43</v>
      </c>
      <c r="K396" s="14"/>
    </row>
    <row r="397" spans="1:11" x14ac:dyDescent="0.3">
      <c r="A397" s="13"/>
      <c r="B397" s="14" t="str">
        <f t="shared" si="12"/>
        <v/>
      </c>
      <c r="C397" s="14"/>
      <c r="D397" s="14"/>
      <c r="E397" s="14" t="str">
        <f>IF(D397="","",IFERROR(INDEX(tblProductos[CATEGORIA],MATCH(D397,tblProductos[ITEM],0)),""))</f>
        <v/>
      </c>
      <c r="F397" s="15"/>
      <c r="G397" s="16" t="str">
        <f>IF(D397="","",IFERROR(INDEX(tblProductos[COSTO TOTAL],MATCH(D397,tblProductos[ITEM],0)),""))</f>
        <v/>
      </c>
      <c r="H397" s="16" t="str">
        <f t="shared" si="13"/>
        <v/>
      </c>
      <c r="I397" s="14" t="s">
        <v>42</v>
      </c>
      <c r="J397" s="14" t="s">
        <v>43</v>
      </c>
      <c r="K397" s="14"/>
    </row>
    <row r="398" spans="1:11" x14ac:dyDescent="0.3">
      <c r="A398" s="13"/>
      <c r="B398" s="14" t="str">
        <f t="shared" si="12"/>
        <v/>
      </c>
      <c r="C398" s="14"/>
      <c r="D398" s="14"/>
      <c r="E398" s="14" t="str">
        <f>IF(D398="","",IFERROR(INDEX(tblProductos[CATEGORIA],MATCH(D398,tblProductos[ITEM],0)),""))</f>
        <v/>
      </c>
      <c r="F398" s="15"/>
      <c r="G398" s="16" t="str">
        <f>IF(D398="","",IFERROR(INDEX(tblProductos[COSTO TOTAL],MATCH(D398,tblProductos[ITEM],0)),""))</f>
        <v/>
      </c>
      <c r="H398" s="16" t="str">
        <f t="shared" si="13"/>
        <v/>
      </c>
      <c r="I398" s="14" t="s">
        <v>42</v>
      </c>
      <c r="J398" s="14" t="s">
        <v>43</v>
      </c>
      <c r="K398" s="14"/>
    </row>
    <row r="399" spans="1:11" x14ac:dyDescent="0.3">
      <c r="A399" s="13"/>
      <c r="B399" s="14" t="str">
        <f t="shared" si="12"/>
        <v/>
      </c>
      <c r="C399" s="14"/>
      <c r="D399" s="14"/>
      <c r="E399" s="14" t="str">
        <f>IF(D399="","",IFERROR(INDEX(tblProductos[CATEGORIA],MATCH(D399,tblProductos[ITEM],0)),""))</f>
        <v/>
      </c>
      <c r="F399" s="15"/>
      <c r="G399" s="16" t="str">
        <f>IF(D399="","",IFERROR(INDEX(tblProductos[COSTO TOTAL],MATCH(D399,tblProductos[ITEM],0)),""))</f>
        <v/>
      </c>
      <c r="H399" s="16" t="str">
        <f t="shared" si="13"/>
        <v/>
      </c>
      <c r="I399" s="14" t="s">
        <v>42</v>
      </c>
      <c r="J399" s="14" t="s">
        <v>43</v>
      </c>
      <c r="K399" s="14"/>
    </row>
    <row r="400" spans="1:11" x14ac:dyDescent="0.3">
      <c r="A400" s="13"/>
      <c r="B400" s="14" t="str">
        <f t="shared" si="12"/>
        <v/>
      </c>
      <c r="C400" s="14"/>
      <c r="D400" s="14"/>
      <c r="E400" s="14" t="str">
        <f>IF(D400="","",IFERROR(INDEX(tblProductos[CATEGORIA],MATCH(D400,tblProductos[ITEM],0)),""))</f>
        <v/>
      </c>
      <c r="F400" s="15"/>
      <c r="G400" s="16" t="str">
        <f>IF(D400="","",IFERROR(INDEX(tblProductos[COSTO TOTAL],MATCH(D400,tblProductos[ITEM],0)),""))</f>
        <v/>
      </c>
      <c r="H400" s="16" t="str">
        <f t="shared" si="13"/>
        <v/>
      </c>
      <c r="I400" s="14" t="s">
        <v>42</v>
      </c>
      <c r="J400" s="14" t="s">
        <v>43</v>
      </c>
      <c r="K400" s="14"/>
    </row>
    <row r="401" spans="1:11" x14ac:dyDescent="0.3">
      <c r="A401" s="13"/>
      <c r="B401" s="14" t="str">
        <f t="shared" si="12"/>
        <v/>
      </c>
      <c r="C401" s="14"/>
      <c r="D401" s="14"/>
      <c r="E401" s="14" t="str">
        <f>IF(D401="","",IFERROR(INDEX(tblProductos[CATEGORIA],MATCH(D401,tblProductos[ITEM],0)),""))</f>
        <v/>
      </c>
      <c r="F401" s="15"/>
      <c r="G401" s="16" t="str">
        <f>IF(D401="","",IFERROR(INDEX(tblProductos[COSTO TOTAL],MATCH(D401,tblProductos[ITEM],0)),""))</f>
        <v/>
      </c>
      <c r="H401" s="16" t="str">
        <f t="shared" si="13"/>
        <v/>
      </c>
      <c r="I401" s="14" t="s">
        <v>42</v>
      </c>
      <c r="J401" s="14" t="s">
        <v>43</v>
      </c>
      <c r="K401" s="14"/>
    </row>
  </sheetData>
  <dataValidations count="4">
    <dataValidation type="list" allowBlank="1" sqref="C2:C401" xr:uid="{00000000-0002-0000-0300-000000000000}">
      <formula1>lstProveedores</formula1>
    </dataValidation>
    <dataValidation type="list" allowBlank="1" sqref="D2:D401" xr:uid="{00000000-0002-0000-0300-000001000000}">
      <formula1>lstProductos</formula1>
    </dataValidation>
    <dataValidation type="list" allowBlank="1" sqref="I2:I401" xr:uid="{00000000-0002-0000-0300-000002000000}">
      <formula1>lstMetodosPago</formula1>
    </dataValidation>
    <dataValidation type="list" allowBlank="1" sqref="J2:J401" xr:uid="{00000000-0002-0000-0300-000003000000}">
      <formula1>lstCuentas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1"/>
  <sheetViews>
    <sheetView showGridLines="0" workbookViewId="0">
      <pane ySplit="1" topLeftCell="A2" activePane="bottomLeft" state="frozen"/>
      <selection pane="bottomLeft" activeCell="A3" sqref="A3"/>
    </sheetView>
  </sheetViews>
  <sheetFormatPr baseColWidth="10" defaultRowHeight="14.4" x14ac:dyDescent="0.3"/>
  <cols>
    <col min="1" max="1" width="11.109375" bestFit="1" customWidth="1"/>
    <col min="2" max="2" width="13.77734375" bestFit="1" customWidth="1"/>
    <col min="3" max="3" width="15.77734375" bestFit="1" customWidth="1"/>
    <col min="4" max="4" width="21.77734375" bestFit="1" customWidth="1"/>
    <col min="5" max="5" width="14.88671875" bestFit="1" customWidth="1"/>
    <col min="6" max="6" width="11.77734375" bestFit="1" customWidth="1"/>
    <col min="7" max="7" width="18.33203125" bestFit="1" customWidth="1"/>
    <col min="8" max="8" width="12.21875" bestFit="1" customWidth="1"/>
    <col min="9" max="9" width="12.109375" bestFit="1" customWidth="1"/>
    <col min="10" max="10" width="22.21875" customWidth="1"/>
  </cols>
  <sheetData>
    <row r="1" spans="1:10" x14ac:dyDescent="0.3">
      <c r="A1" s="12" t="s">
        <v>13</v>
      </c>
      <c r="B1" s="12" t="s">
        <v>44</v>
      </c>
      <c r="C1" s="12" t="s">
        <v>40</v>
      </c>
      <c r="D1" s="12" t="s">
        <v>45</v>
      </c>
      <c r="E1" s="12" t="s">
        <v>46</v>
      </c>
      <c r="F1" s="12" t="s">
        <v>47</v>
      </c>
      <c r="G1" s="12" t="s">
        <v>27</v>
      </c>
      <c r="H1" s="12" t="s">
        <v>28</v>
      </c>
      <c r="I1" s="12" t="s">
        <v>29</v>
      </c>
      <c r="J1" s="12" t="s">
        <v>30</v>
      </c>
    </row>
    <row r="2" spans="1:10" x14ac:dyDescent="0.3">
      <c r="A2" s="13">
        <v>46020</v>
      </c>
      <c r="B2" s="14" t="str">
        <f t="shared" ref="B2:B65" si="0">IF(A2="","", "G"&amp;TEXT(A2,"yymmdd")&amp;"-"&amp;TEXT(ROW()-1,"0000"))</f>
        <v>G251229-0001</v>
      </c>
      <c r="C2" s="14" t="s">
        <v>214</v>
      </c>
      <c r="D2" s="14" t="s">
        <v>213</v>
      </c>
      <c r="E2" t="s">
        <v>215</v>
      </c>
      <c r="F2" s="41">
        <v>68307.759999999995</v>
      </c>
      <c r="G2" s="14" t="s">
        <v>198</v>
      </c>
      <c r="H2" s="14" t="s">
        <v>216</v>
      </c>
      <c r="I2" s="14" t="s">
        <v>36</v>
      </c>
      <c r="J2" s="14"/>
    </row>
    <row r="3" spans="1:10" x14ac:dyDescent="0.3">
      <c r="A3" s="13"/>
      <c r="B3" s="14" t="str">
        <f t="shared" si="0"/>
        <v/>
      </c>
      <c r="C3" s="14"/>
      <c r="D3" s="14"/>
      <c r="E3" s="14"/>
      <c r="F3" s="16"/>
      <c r="G3" s="14" t="s">
        <v>42</v>
      </c>
      <c r="H3" s="14" t="s">
        <v>43</v>
      </c>
      <c r="I3" s="14" t="s">
        <v>36</v>
      </c>
      <c r="J3" s="14"/>
    </row>
    <row r="4" spans="1:10" x14ac:dyDescent="0.3">
      <c r="A4" s="13"/>
      <c r="B4" s="14" t="str">
        <f t="shared" si="0"/>
        <v/>
      </c>
      <c r="C4" s="14"/>
      <c r="D4" s="14"/>
      <c r="E4" s="14"/>
      <c r="F4" s="16"/>
      <c r="G4" s="14" t="s">
        <v>42</v>
      </c>
      <c r="H4" s="14" t="s">
        <v>43</v>
      </c>
      <c r="I4" s="14" t="s">
        <v>36</v>
      </c>
      <c r="J4" s="14"/>
    </row>
    <row r="5" spans="1:10" x14ac:dyDescent="0.3">
      <c r="A5" s="13"/>
      <c r="B5" s="14" t="str">
        <f t="shared" si="0"/>
        <v/>
      </c>
      <c r="C5" s="14"/>
      <c r="D5" s="14"/>
      <c r="E5" s="14"/>
      <c r="F5" s="16"/>
      <c r="G5" s="14" t="s">
        <v>42</v>
      </c>
      <c r="H5" s="14" t="s">
        <v>43</v>
      </c>
      <c r="I5" s="14" t="s">
        <v>36</v>
      </c>
      <c r="J5" s="14"/>
    </row>
    <row r="6" spans="1:10" x14ac:dyDescent="0.3">
      <c r="A6" s="13"/>
      <c r="B6" s="14" t="str">
        <f t="shared" si="0"/>
        <v/>
      </c>
      <c r="C6" s="14"/>
      <c r="D6" s="14"/>
      <c r="E6" s="14"/>
      <c r="F6" s="16"/>
      <c r="G6" s="14" t="s">
        <v>42</v>
      </c>
      <c r="H6" s="14" t="s">
        <v>43</v>
      </c>
      <c r="I6" s="14" t="s">
        <v>36</v>
      </c>
      <c r="J6" s="14"/>
    </row>
    <row r="7" spans="1:10" x14ac:dyDescent="0.3">
      <c r="A7" s="13"/>
      <c r="B7" s="14" t="str">
        <f t="shared" si="0"/>
        <v/>
      </c>
      <c r="C7" s="14"/>
      <c r="D7" s="14"/>
      <c r="E7" s="14"/>
      <c r="F7" s="16"/>
      <c r="G7" s="14" t="s">
        <v>42</v>
      </c>
      <c r="H7" s="14" t="s">
        <v>43</v>
      </c>
      <c r="I7" s="14" t="s">
        <v>36</v>
      </c>
      <c r="J7" s="14"/>
    </row>
    <row r="8" spans="1:10" x14ac:dyDescent="0.3">
      <c r="A8" s="13"/>
      <c r="B8" s="14" t="str">
        <f t="shared" si="0"/>
        <v/>
      </c>
      <c r="C8" s="14"/>
      <c r="D8" s="14"/>
      <c r="E8" s="14"/>
      <c r="F8" s="16"/>
      <c r="G8" s="14" t="s">
        <v>42</v>
      </c>
      <c r="H8" s="14" t="s">
        <v>43</v>
      </c>
      <c r="I8" s="14" t="s">
        <v>36</v>
      </c>
      <c r="J8" s="14"/>
    </row>
    <row r="9" spans="1:10" x14ac:dyDescent="0.3">
      <c r="A9" s="13"/>
      <c r="B9" s="14" t="str">
        <f t="shared" si="0"/>
        <v/>
      </c>
      <c r="C9" s="14"/>
      <c r="D9" s="14"/>
      <c r="E9" s="14"/>
      <c r="F9" s="16"/>
      <c r="G9" s="14" t="s">
        <v>42</v>
      </c>
      <c r="H9" s="14" t="s">
        <v>43</v>
      </c>
      <c r="I9" s="14" t="s">
        <v>36</v>
      </c>
      <c r="J9" s="14"/>
    </row>
    <row r="10" spans="1:10" x14ac:dyDescent="0.3">
      <c r="A10" s="13"/>
      <c r="B10" s="14" t="str">
        <f t="shared" si="0"/>
        <v/>
      </c>
      <c r="C10" s="14"/>
      <c r="D10" s="14"/>
      <c r="E10" s="14"/>
      <c r="F10" s="16"/>
      <c r="G10" s="14" t="s">
        <v>42</v>
      </c>
      <c r="H10" s="14" t="s">
        <v>43</v>
      </c>
      <c r="I10" s="14" t="s">
        <v>36</v>
      </c>
      <c r="J10" s="14"/>
    </row>
    <row r="11" spans="1:10" x14ac:dyDescent="0.3">
      <c r="A11" s="13"/>
      <c r="B11" s="14" t="str">
        <f t="shared" si="0"/>
        <v/>
      </c>
      <c r="C11" s="14"/>
      <c r="D11" s="14"/>
      <c r="E11" s="14"/>
      <c r="F11" s="16"/>
      <c r="G11" s="14" t="s">
        <v>42</v>
      </c>
      <c r="H11" s="14" t="s">
        <v>43</v>
      </c>
      <c r="I11" s="14" t="s">
        <v>36</v>
      </c>
      <c r="J11" s="14"/>
    </row>
    <row r="12" spans="1:10" x14ac:dyDescent="0.3">
      <c r="A12" s="13"/>
      <c r="B12" s="14" t="str">
        <f t="shared" si="0"/>
        <v/>
      </c>
      <c r="C12" s="14"/>
      <c r="D12" s="14"/>
      <c r="E12" s="14"/>
      <c r="F12" s="16"/>
      <c r="G12" s="14" t="s">
        <v>42</v>
      </c>
      <c r="H12" s="14" t="s">
        <v>43</v>
      </c>
      <c r="I12" s="14" t="s">
        <v>36</v>
      </c>
      <c r="J12" s="14"/>
    </row>
    <row r="13" spans="1:10" x14ac:dyDescent="0.3">
      <c r="A13" s="13"/>
      <c r="B13" s="14" t="str">
        <f t="shared" si="0"/>
        <v/>
      </c>
      <c r="C13" s="14"/>
      <c r="D13" s="14"/>
      <c r="E13" s="14"/>
      <c r="F13" s="16"/>
      <c r="G13" s="14" t="s">
        <v>42</v>
      </c>
      <c r="H13" s="14" t="s">
        <v>43</v>
      </c>
      <c r="I13" s="14" t="s">
        <v>36</v>
      </c>
      <c r="J13" s="14"/>
    </row>
    <row r="14" spans="1:10" x14ac:dyDescent="0.3">
      <c r="A14" s="13"/>
      <c r="B14" s="14" t="str">
        <f t="shared" si="0"/>
        <v/>
      </c>
      <c r="C14" s="14"/>
      <c r="D14" s="14"/>
      <c r="E14" s="14"/>
      <c r="F14" s="16"/>
      <c r="G14" s="14" t="s">
        <v>42</v>
      </c>
      <c r="H14" s="14" t="s">
        <v>43</v>
      </c>
      <c r="I14" s="14" t="s">
        <v>36</v>
      </c>
      <c r="J14" s="14"/>
    </row>
    <row r="15" spans="1:10" x14ac:dyDescent="0.3">
      <c r="A15" s="13"/>
      <c r="B15" s="14" t="str">
        <f t="shared" si="0"/>
        <v/>
      </c>
      <c r="C15" s="14"/>
      <c r="D15" s="14"/>
      <c r="E15" s="14"/>
      <c r="F15" s="16"/>
      <c r="G15" s="14" t="s">
        <v>42</v>
      </c>
      <c r="H15" s="14" t="s">
        <v>43</v>
      </c>
      <c r="I15" s="14" t="s">
        <v>36</v>
      </c>
      <c r="J15" s="14"/>
    </row>
    <row r="16" spans="1:10" x14ac:dyDescent="0.3">
      <c r="A16" s="13"/>
      <c r="B16" s="14" t="str">
        <f t="shared" si="0"/>
        <v/>
      </c>
      <c r="C16" s="14"/>
      <c r="D16" s="14"/>
      <c r="E16" s="14"/>
      <c r="F16" s="16"/>
      <c r="G16" s="14" t="s">
        <v>42</v>
      </c>
      <c r="H16" s="14" t="s">
        <v>43</v>
      </c>
      <c r="I16" s="14" t="s">
        <v>36</v>
      </c>
      <c r="J16" s="14"/>
    </row>
    <row r="17" spans="1:10" x14ac:dyDescent="0.3">
      <c r="A17" s="13"/>
      <c r="B17" s="14" t="str">
        <f t="shared" si="0"/>
        <v/>
      </c>
      <c r="C17" s="14"/>
      <c r="D17" s="14"/>
      <c r="E17" s="14"/>
      <c r="F17" s="16"/>
      <c r="G17" s="14" t="s">
        <v>42</v>
      </c>
      <c r="H17" s="14" t="s">
        <v>43</v>
      </c>
      <c r="I17" s="14" t="s">
        <v>36</v>
      </c>
      <c r="J17" s="14"/>
    </row>
    <row r="18" spans="1:10" x14ac:dyDescent="0.3">
      <c r="A18" s="13"/>
      <c r="B18" s="14" t="str">
        <f t="shared" si="0"/>
        <v/>
      </c>
      <c r="C18" s="14"/>
      <c r="D18" s="14"/>
      <c r="E18" s="14"/>
      <c r="F18" s="16"/>
      <c r="G18" s="14" t="s">
        <v>42</v>
      </c>
      <c r="H18" s="14" t="s">
        <v>43</v>
      </c>
      <c r="I18" s="14" t="s">
        <v>36</v>
      </c>
      <c r="J18" s="14"/>
    </row>
    <row r="19" spans="1:10" x14ac:dyDescent="0.3">
      <c r="A19" s="13"/>
      <c r="B19" s="14" t="str">
        <f t="shared" si="0"/>
        <v/>
      </c>
      <c r="C19" s="14"/>
      <c r="D19" s="14"/>
      <c r="E19" s="14"/>
      <c r="F19" s="16"/>
      <c r="G19" s="14" t="s">
        <v>42</v>
      </c>
      <c r="H19" s="14" t="s">
        <v>43</v>
      </c>
      <c r="I19" s="14" t="s">
        <v>36</v>
      </c>
      <c r="J19" s="14"/>
    </row>
    <row r="20" spans="1:10" x14ac:dyDescent="0.3">
      <c r="A20" s="13"/>
      <c r="B20" s="14" t="str">
        <f t="shared" si="0"/>
        <v/>
      </c>
      <c r="C20" s="14"/>
      <c r="D20" s="14"/>
      <c r="E20" s="14"/>
      <c r="F20" s="16"/>
      <c r="G20" s="14" t="s">
        <v>42</v>
      </c>
      <c r="H20" s="14" t="s">
        <v>43</v>
      </c>
      <c r="I20" s="14" t="s">
        <v>36</v>
      </c>
      <c r="J20" s="14"/>
    </row>
    <row r="21" spans="1:10" x14ac:dyDescent="0.3">
      <c r="A21" s="13"/>
      <c r="B21" s="14" t="str">
        <f t="shared" si="0"/>
        <v/>
      </c>
      <c r="C21" s="14"/>
      <c r="D21" s="14"/>
      <c r="E21" s="14"/>
      <c r="F21" s="16"/>
      <c r="G21" s="14" t="s">
        <v>42</v>
      </c>
      <c r="H21" s="14" t="s">
        <v>43</v>
      </c>
      <c r="I21" s="14" t="s">
        <v>36</v>
      </c>
      <c r="J21" s="14"/>
    </row>
    <row r="22" spans="1:10" x14ac:dyDescent="0.3">
      <c r="A22" s="13"/>
      <c r="B22" s="14" t="str">
        <f t="shared" si="0"/>
        <v/>
      </c>
      <c r="C22" s="14"/>
      <c r="D22" s="14"/>
      <c r="E22" s="14"/>
      <c r="F22" s="16"/>
      <c r="G22" s="14" t="s">
        <v>42</v>
      </c>
      <c r="H22" s="14" t="s">
        <v>43</v>
      </c>
      <c r="I22" s="14" t="s">
        <v>36</v>
      </c>
      <c r="J22" s="14"/>
    </row>
    <row r="23" spans="1:10" x14ac:dyDescent="0.3">
      <c r="A23" s="13"/>
      <c r="B23" s="14" t="str">
        <f t="shared" si="0"/>
        <v/>
      </c>
      <c r="C23" s="14"/>
      <c r="D23" s="14"/>
      <c r="E23" s="14"/>
      <c r="F23" s="16"/>
      <c r="G23" s="14" t="s">
        <v>42</v>
      </c>
      <c r="H23" s="14" t="s">
        <v>43</v>
      </c>
      <c r="I23" s="14" t="s">
        <v>36</v>
      </c>
      <c r="J23" s="14"/>
    </row>
    <row r="24" spans="1:10" x14ac:dyDescent="0.3">
      <c r="A24" s="13"/>
      <c r="B24" s="14" t="str">
        <f t="shared" si="0"/>
        <v/>
      </c>
      <c r="C24" s="14"/>
      <c r="D24" s="14"/>
      <c r="E24" s="14"/>
      <c r="F24" s="16"/>
      <c r="G24" s="14" t="s">
        <v>42</v>
      </c>
      <c r="H24" s="14" t="s">
        <v>43</v>
      </c>
      <c r="I24" s="14" t="s">
        <v>36</v>
      </c>
      <c r="J24" s="14"/>
    </row>
    <row r="25" spans="1:10" x14ac:dyDescent="0.3">
      <c r="A25" s="13"/>
      <c r="B25" s="14" t="str">
        <f t="shared" si="0"/>
        <v/>
      </c>
      <c r="C25" s="14"/>
      <c r="D25" s="14"/>
      <c r="E25" s="14"/>
      <c r="F25" s="16"/>
      <c r="G25" s="14" t="s">
        <v>42</v>
      </c>
      <c r="H25" s="14" t="s">
        <v>43</v>
      </c>
      <c r="I25" s="14" t="s">
        <v>36</v>
      </c>
      <c r="J25" s="14"/>
    </row>
    <row r="26" spans="1:10" x14ac:dyDescent="0.3">
      <c r="A26" s="13"/>
      <c r="B26" s="14" t="str">
        <f t="shared" si="0"/>
        <v/>
      </c>
      <c r="C26" s="14"/>
      <c r="D26" s="14"/>
      <c r="E26" s="14"/>
      <c r="F26" s="16"/>
      <c r="G26" s="14" t="s">
        <v>42</v>
      </c>
      <c r="H26" s="14" t="s">
        <v>43</v>
      </c>
      <c r="I26" s="14" t="s">
        <v>36</v>
      </c>
      <c r="J26" s="14"/>
    </row>
    <row r="27" spans="1:10" x14ac:dyDescent="0.3">
      <c r="A27" s="13"/>
      <c r="B27" s="14" t="str">
        <f t="shared" si="0"/>
        <v/>
      </c>
      <c r="C27" s="14"/>
      <c r="D27" s="14"/>
      <c r="E27" s="14"/>
      <c r="F27" s="16"/>
      <c r="G27" s="14" t="s">
        <v>42</v>
      </c>
      <c r="H27" s="14" t="s">
        <v>43</v>
      </c>
      <c r="I27" s="14" t="s">
        <v>36</v>
      </c>
      <c r="J27" s="14"/>
    </row>
    <row r="28" spans="1:10" x14ac:dyDescent="0.3">
      <c r="A28" s="13"/>
      <c r="B28" s="14" t="str">
        <f t="shared" si="0"/>
        <v/>
      </c>
      <c r="C28" s="14"/>
      <c r="D28" s="14"/>
      <c r="E28" s="14"/>
      <c r="F28" s="16"/>
      <c r="G28" s="14" t="s">
        <v>42</v>
      </c>
      <c r="H28" s="14" t="s">
        <v>43</v>
      </c>
      <c r="I28" s="14" t="s">
        <v>36</v>
      </c>
      <c r="J28" s="14"/>
    </row>
    <row r="29" spans="1:10" x14ac:dyDescent="0.3">
      <c r="A29" s="13"/>
      <c r="B29" s="14" t="str">
        <f t="shared" si="0"/>
        <v/>
      </c>
      <c r="C29" s="14"/>
      <c r="D29" s="14"/>
      <c r="E29" s="14"/>
      <c r="F29" s="16"/>
      <c r="G29" s="14" t="s">
        <v>42</v>
      </c>
      <c r="H29" s="14" t="s">
        <v>43</v>
      </c>
      <c r="I29" s="14" t="s">
        <v>36</v>
      </c>
      <c r="J29" s="14"/>
    </row>
    <row r="30" spans="1:10" x14ac:dyDescent="0.3">
      <c r="A30" s="13"/>
      <c r="B30" s="14" t="str">
        <f t="shared" si="0"/>
        <v/>
      </c>
      <c r="C30" s="14"/>
      <c r="D30" s="14"/>
      <c r="E30" s="14"/>
      <c r="F30" s="16"/>
      <c r="G30" s="14" t="s">
        <v>42</v>
      </c>
      <c r="H30" s="14" t="s">
        <v>43</v>
      </c>
      <c r="I30" s="14" t="s">
        <v>36</v>
      </c>
      <c r="J30" s="14"/>
    </row>
    <row r="31" spans="1:10" x14ac:dyDescent="0.3">
      <c r="A31" s="13"/>
      <c r="B31" s="14" t="str">
        <f t="shared" si="0"/>
        <v/>
      </c>
      <c r="C31" s="14"/>
      <c r="D31" s="14"/>
      <c r="E31" s="14"/>
      <c r="F31" s="16"/>
      <c r="G31" s="14" t="s">
        <v>42</v>
      </c>
      <c r="H31" s="14" t="s">
        <v>43</v>
      </c>
      <c r="I31" s="14" t="s">
        <v>36</v>
      </c>
      <c r="J31" s="14"/>
    </row>
    <row r="32" spans="1:10" x14ac:dyDescent="0.3">
      <c r="A32" s="13"/>
      <c r="B32" s="14" t="str">
        <f t="shared" si="0"/>
        <v/>
      </c>
      <c r="C32" s="14"/>
      <c r="D32" s="14"/>
      <c r="E32" s="14"/>
      <c r="F32" s="16"/>
      <c r="G32" s="14" t="s">
        <v>42</v>
      </c>
      <c r="H32" s="14" t="s">
        <v>43</v>
      </c>
      <c r="I32" s="14" t="s">
        <v>36</v>
      </c>
      <c r="J32" s="14"/>
    </row>
    <row r="33" spans="1:10" x14ac:dyDescent="0.3">
      <c r="A33" s="13"/>
      <c r="B33" s="14" t="str">
        <f t="shared" si="0"/>
        <v/>
      </c>
      <c r="C33" s="14"/>
      <c r="D33" s="14"/>
      <c r="E33" s="14"/>
      <c r="F33" s="16"/>
      <c r="G33" s="14" t="s">
        <v>42</v>
      </c>
      <c r="H33" s="14" t="s">
        <v>43</v>
      </c>
      <c r="I33" s="14" t="s">
        <v>36</v>
      </c>
      <c r="J33" s="14"/>
    </row>
    <row r="34" spans="1:10" x14ac:dyDescent="0.3">
      <c r="A34" s="13"/>
      <c r="B34" s="14" t="str">
        <f t="shared" si="0"/>
        <v/>
      </c>
      <c r="C34" s="14"/>
      <c r="D34" s="14"/>
      <c r="E34" s="14"/>
      <c r="F34" s="16"/>
      <c r="G34" s="14" t="s">
        <v>42</v>
      </c>
      <c r="H34" s="14" t="s">
        <v>43</v>
      </c>
      <c r="I34" s="14" t="s">
        <v>36</v>
      </c>
      <c r="J34" s="14"/>
    </row>
    <row r="35" spans="1:10" x14ac:dyDescent="0.3">
      <c r="A35" s="13"/>
      <c r="B35" s="14" t="str">
        <f t="shared" si="0"/>
        <v/>
      </c>
      <c r="C35" s="14"/>
      <c r="D35" s="14"/>
      <c r="E35" s="14"/>
      <c r="F35" s="16"/>
      <c r="G35" s="14" t="s">
        <v>42</v>
      </c>
      <c r="H35" s="14" t="s">
        <v>43</v>
      </c>
      <c r="I35" s="14" t="s">
        <v>36</v>
      </c>
      <c r="J35" s="14"/>
    </row>
    <row r="36" spans="1:10" x14ac:dyDescent="0.3">
      <c r="A36" s="13"/>
      <c r="B36" s="14" t="str">
        <f t="shared" si="0"/>
        <v/>
      </c>
      <c r="C36" s="14"/>
      <c r="D36" s="14"/>
      <c r="E36" s="14"/>
      <c r="F36" s="16"/>
      <c r="G36" s="14" t="s">
        <v>42</v>
      </c>
      <c r="H36" s="14" t="s">
        <v>43</v>
      </c>
      <c r="I36" s="14" t="s">
        <v>36</v>
      </c>
      <c r="J36" s="14"/>
    </row>
    <row r="37" spans="1:10" x14ac:dyDescent="0.3">
      <c r="A37" s="13"/>
      <c r="B37" s="14" t="str">
        <f t="shared" si="0"/>
        <v/>
      </c>
      <c r="C37" s="14"/>
      <c r="D37" s="14"/>
      <c r="E37" s="14"/>
      <c r="F37" s="16"/>
      <c r="G37" s="14" t="s">
        <v>42</v>
      </c>
      <c r="H37" s="14" t="s">
        <v>43</v>
      </c>
      <c r="I37" s="14" t="s">
        <v>36</v>
      </c>
      <c r="J37" s="14"/>
    </row>
    <row r="38" spans="1:10" x14ac:dyDescent="0.3">
      <c r="A38" s="13"/>
      <c r="B38" s="14" t="str">
        <f t="shared" si="0"/>
        <v/>
      </c>
      <c r="C38" s="14"/>
      <c r="D38" s="14"/>
      <c r="E38" s="14"/>
      <c r="F38" s="16"/>
      <c r="G38" s="14" t="s">
        <v>42</v>
      </c>
      <c r="H38" s="14" t="s">
        <v>43</v>
      </c>
      <c r="I38" s="14" t="s">
        <v>36</v>
      </c>
      <c r="J38" s="14"/>
    </row>
    <row r="39" spans="1:10" x14ac:dyDescent="0.3">
      <c r="A39" s="13"/>
      <c r="B39" s="14" t="str">
        <f t="shared" si="0"/>
        <v/>
      </c>
      <c r="C39" s="14"/>
      <c r="D39" s="14"/>
      <c r="E39" s="14"/>
      <c r="F39" s="16"/>
      <c r="G39" s="14" t="s">
        <v>42</v>
      </c>
      <c r="H39" s="14" t="s">
        <v>43</v>
      </c>
      <c r="I39" s="14" t="s">
        <v>36</v>
      </c>
      <c r="J39" s="14"/>
    </row>
    <row r="40" spans="1:10" x14ac:dyDescent="0.3">
      <c r="A40" s="13"/>
      <c r="B40" s="14" t="str">
        <f t="shared" si="0"/>
        <v/>
      </c>
      <c r="C40" s="14"/>
      <c r="D40" s="14"/>
      <c r="E40" s="14"/>
      <c r="F40" s="16"/>
      <c r="G40" s="14" t="s">
        <v>42</v>
      </c>
      <c r="H40" s="14" t="s">
        <v>43</v>
      </c>
      <c r="I40" s="14" t="s">
        <v>36</v>
      </c>
      <c r="J40" s="14"/>
    </row>
    <row r="41" spans="1:10" x14ac:dyDescent="0.3">
      <c r="A41" s="13"/>
      <c r="B41" s="14" t="str">
        <f t="shared" si="0"/>
        <v/>
      </c>
      <c r="C41" s="14"/>
      <c r="D41" s="14"/>
      <c r="E41" s="14"/>
      <c r="F41" s="16"/>
      <c r="G41" s="14" t="s">
        <v>42</v>
      </c>
      <c r="H41" s="14" t="s">
        <v>43</v>
      </c>
      <c r="I41" s="14" t="s">
        <v>36</v>
      </c>
      <c r="J41" s="14"/>
    </row>
    <row r="42" spans="1:10" x14ac:dyDescent="0.3">
      <c r="A42" s="13"/>
      <c r="B42" s="14" t="str">
        <f t="shared" si="0"/>
        <v/>
      </c>
      <c r="C42" s="14"/>
      <c r="D42" s="14"/>
      <c r="E42" s="14"/>
      <c r="F42" s="16"/>
      <c r="G42" s="14" t="s">
        <v>42</v>
      </c>
      <c r="H42" s="14" t="s">
        <v>43</v>
      </c>
      <c r="I42" s="14" t="s">
        <v>36</v>
      </c>
      <c r="J42" s="14"/>
    </row>
    <row r="43" spans="1:10" x14ac:dyDescent="0.3">
      <c r="A43" s="13"/>
      <c r="B43" s="14" t="str">
        <f t="shared" si="0"/>
        <v/>
      </c>
      <c r="C43" s="14"/>
      <c r="D43" s="14"/>
      <c r="E43" s="14"/>
      <c r="F43" s="16"/>
      <c r="G43" s="14" t="s">
        <v>42</v>
      </c>
      <c r="H43" s="14" t="s">
        <v>43</v>
      </c>
      <c r="I43" s="14" t="s">
        <v>36</v>
      </c>
      <c r="J43" s="14"/>
    </row>
    <row r="44" spans="1:10" x14ac:dyDescent="0.3">
      <c r="A44" s="13"/>
      <c r="B44" s="14" t="str">
        <f t="shared" si="0"/>
        <v/>
      </c>
      <c r="C44" s="14"/>
      <c r="D44" s="14"/>
      <c r="E44" s="14"/>
      <c r="F44" s="16"/>
      <c r="G44" s="14" t="s">
        <v>42</v>
      </c>
      <c r="H44" s="14" t="s">
        <v>43</v>
      </c>
      <c r="I44" s="14" t="s">
        <v>36</v>
      </c>
      <c r="J44" s="14"/>
    </row>
    <row r="45" spans="1:10" x14ac:dyDescent="0.3">
      <c r="A45" s="13"/>
      <c r="B45" s="14" t="str">
        <f t="shared" si="0"/>
        <v/>
      </c>
      <c r="C45" s="14"/>
      <c r="D45" s="14"/>
      <c r="E45" s="14"/>
      <c r="F45" s="16"/>
      <c r="G45" s="14" t="s">
        <v>42</v>
      </c>
      <c r="H45" s="14" t="s">
        <v>43</v>
      </c>
      <c r="I45" s="14" t="s">
        <v>36</v>
      </c>
      <c r="J45" s="14"/>
    </row>
    <row r="46" spans="1:10" x14ac:dyDescent="0.3">
      <c r="A46" s="13"/>
      <c r="B46" s="14" t="str">
        <f t="shared" si="0"/>
        <v/>
      </c>
      <c r="C46" s="14"/>
      <c r="D46" s="14"/>
      <c r="E46" s="14"/>
      <c r="F46" s="16"/>
      <c r="G46" s="14" t="s">
        <v>42</v>
      </c>
      <c r="H46" s="14" t="s">
        <v>43</v>
      </c>
      <c r="I46" s="14" t="s">
        <v>36</v>
      </c>
      <c r="J46" s="14"/>
    </row>
    <row r="47" spans="1:10" x14ac:dyDescent="0.3">
      <c r="A47" s="13"/>
      <c r="B47" s="14" t="str">
        <f t="shared" si="0"/>
        <v/>
      </c>
      <c r="C47" s="14"/>
      <c r="D47" s="14"/>
      <c r="E47" s="14"/>
      <c r="F47" s="16"/>
      <c r="G47" s="14" t="s">
        <v>42</v>
      </c>
      <c r="H47" s="14" t="s">
        <v>43</v>
      </c>
      <c r="I47" s="14" t="s">
        <v>36</v>
      </c>
      <c r="J47" s="14"/>
    </row>
    <row r="48" spans="1:10" x14ac:dyDescent="0.3">
      <c r="A48" s="13"/>
      <c r="B48" s="14" t="str">
        <f t="shared" si="0"/>
        <v/>
      </c>
      <c r="C48" s="14"/>
      <c r="D48" s="14"/>
      <c r="E48" s="14"/>
      <c r="F48" s="16"/>
      <c r="G48" s="14" t="s">
        <v>42</v>
      </c>
      <c r="H48" s="14" t="s">
        <v>43</v>
      </c>
      <c r="I48" s="14" t="s">
        <v>36</v>
      </c>
      <c r="J48" s="14"/>
    </row>
    <row r="49" spans="1:10" x14ac:dyDescent="0.3">
      <c r="A49" s="13"/>
      <c r="B49" s="14" t="str">
        <f t="shared" si="0"/>
        <v/>
      </c>
      <c r="C49" s="14"/>
      <c r="D49" s="14"/>
      <c r="E49" s="14"/>
      <c r="F49" s="16"/>
      <c r="G49" s="14" t="s">
        <v>42</v>
      </c>
      <c r="H49" s="14" t="s">
        <v>43</v>
      </c>
      <c r="I49" s="14" t="s">
        <v>36</v>
      </c>
      <c r="J49" s="14"/>
    </row>
    <row r="50" spans="1:10" x14ac:dyDescent="0.3">
      <c r="A50" s="13"/>
      <c r="B50" s="14" t="str">
        <f t="shared" si="0"/>
        <v/>
      </c>
      <c r="C50" s="14"/>
      <c r="D50" s="14"/>
      <c r="E50" s="14"/>
      <c r="F50" s="16"/>
      <c r="G50" s="14" t="s">
        <v>42</v>
      </c>
      <c r="H50" s="14" t="s">
        <v>43</v>
      </c>
      <c r="I50" s="14" t="s">
        <v>36</v>
      </c>
      <c r="J50" s="14"/>
    </row>
    <row r="51" spans="1:10" x14ac:dyDescent="0.3">
      <c r="A51" s="13"/>
      <c r="B51" s="14" t="str">
        <f t="shared" si="0"/>
        <v/>
      </c>
      <c r="C51" s="14"/>
      <c r="D51" s="14"/>
      <c r="E51" s="14"/>
      <c r="F51" s="16"/>
      <c r="G51" s="14" t="s">
        <v>42</v>
      </c>
      <c r="H51" s="14" t="s">
        <v>43</v>
      </c>
      <c r="I51" s="14" t="s">
        <v>36</v>
      </c>
      <c r="J51" s="14"/>
    </row>
    <row r="52" spans="1:10" x14ac:dyDescent="0.3">
      <c r="A52" s="13"/>
      <c r="B52" s="14" t="str">
        <f t="shared" si="0"/>
        <v/>
      </c>
      <c r="C52" s="14"/>
      <c r="D52" s="14"/>
      <c r="E52" s="14"/>
      <c r="F52" s="16"/>
      <c r="G52" s="14" t="s">
        <v>42</v>
      </c>
      <c r="H52" s="14" t="s">
        <v>43</v>
      </c>
      <c r="I52" s="14" t="s">
        <v>36</v>
      </c>
      <c r="J52" s="14"/>
    </row>
    <row r="53" spans="1:10" x14ac:dyDescent="0.3">
      <c r="A53" s="13"/>
      <c r="B53" s="14" t="str">
        <f t="shared" si="0"/>
        <v/>
      </c>
      <c r="C53" s="14"/>
      <c r="D53" s="14"/>
      <c r="E53" s="14"/>
      <c r="F53" s="16"/>
      <c r="G53" s="14" t="s">
        <v>42</v>
      </c>
      <c r="H53" s="14" t="s">
        <v>43</v>
      </c>
      <c r="I53" s="14" t="s">
        <v>36</v>
      </c>
      <c r="J53" s="14"/>
    </row>
    <row r="54" spans="1:10" x14ac:dyDescent="0.3">
      <c r="A54" s="13"/>
      <c r="B54" s="14" t="str">
        <f t="shared" si="0"/>
        <v/>
      </c>
      <c r="C54" s="14"/>
      <c r="D54" s="14"/>
      <c r="E54" s="14"/>
      <c r="F54" s="16"/>
      <c r="G54" s="14" t="s">
        <v>42</v>
      </c>
      <c r="H54" s="14" t="s">
        <v>43</v>
      </c>
      <c r="I54" s="14" t="s">
        <v>36</v>
      </c>
      <c r="J54" s="14"/>
    </row>
    <row r="55" spans="1:10" x14ac:dyDescent="0.3">
      <c r="A55" s="13"/>
      <c r="B55" s="14" t="str">
        <f t="shared" si="0"/>
        <v/>
      </c>
      <c r="C55" s="14"/>
      <c r="D55" s="14"/>
      <c r="E55" s="14"/>
      <c r="F55" s="16"/>
      <c r="G55" s="14" t="s">
        <v>42</v>
      </c>
      <c r="H55" s="14" t="s">
        <v>43</v>
      </c>
      <c r="I55" s="14" t="s">
        <v>36</v>
      </c>
      <c r="J55" s="14"/>
    </row>
    <row r="56" spans="1:10" x14ac:dyDescent="0.3">
      <c r="A56" s="13"/>
      <c r="B56" s="14" t="str">
        <f t="shared" si="0"/>
        <v/>
      </c>
      <c r="C56" s="14"/>
      <c r="D56" s="14"/>
      <c r="E56" s="14"/>
      <c r="F56" s="16"/>
      <c r="G56" s="14" t="s">
        <v>42</v>
      </c>
      <c r="H56" s="14" t="s">
        <v>43</v>
      </c>
      <c r="I56" s="14" t="s">
        <v>36</v>
      </c>
      <c r="J56" s="14"/>
    </row>
    <row r="57" spans="1:10" x14ac:dyDescent="0.3">
      <c r="A57" s="13"/>
      <c r="B57" s="14" t="str">
        <f t="shared" si="0"/>
        <v/>
      </c>
      <c r="C57" s="14"/>
      <c r="D57" s="14"/>
      <c r="E57" s="14"/>
      <c r="F57" s="16"/>
      <c r="G57" s="14" t="s">
        <v>42</v>
      </c>
      <c r="H57" s="14" t="s">
        <v>43</v>
      </c>
      <c r="I57" s="14" t="s">
        <v>36</v>
      </c>
      <c r="J57" s="14"/>
    </row>
    <row r="58" spans="1:10" x14ac:dyDescent="0.3">
      <c r="A58" s="13"/>
      <c r="B58" s="14" t="str">
        <f t="shared" si="0"/>
        <v/>
      </c>
      <c r="C58" s="14"/>
      <c r="D58" s="14"/>
      <c r="E58" s="14"/>
      <c r="F58" s="16"/>
      <c r="G58" s="14" t="s">
        <v>42</v>
      </c>
      <c r="H58" s="14" t="s">
        <v>43</v>
      </c>
      <c r="I58" s="14" t="s">
        <v>36</v>
      </c>
      <c r="J58" s="14"/>
    </row>
    <row r="59" spans="1:10" x14ac:dyDescent="0.3">
      <c r="A59" s="13"/>
      <c r="B59" s="14" t="str">
        <f t="shared" si="0"/>
        <v/>
      </c>
      <c r="C59" s="14"/>
      <c r="D59" s="14"/>
      <c r="E59" s="14"/>
      <c r="F59" s="16"/>
      <c r="G59" s="14" t="s">
        <v>42</v>
      </c>
      <c r="H59" s="14" t="s">
        <v>43</v>
      </c>
      <c r="I59" s="14" t="s">
        <v>36</v>
      </c>
      <c r="J59" s="14"/>
    </row>
    <row r="60" spans="1:10" x14ac:dyDescent="0.3">
      <c r="A60" s="13"/>
      <c r="B60" s="14" t="str">
        <f t="shared" si="0"/>
        <v/>
      </c>
      <c r="C60" s="14"/>
      <c r="D60" s="14"/>
      <c r="E60" s="14"/>
      <c r="F60" s="16"/>
      <c r="G60" s="14" t="s">
        <v>42</v>
      </c>
      <c r="H60" s="14" t="s">
        <v>43</v>
      </c>
      <c r="I60" s="14" t="s">
        <v>36</v>
      </c>
      <c r="J60" s="14"/>
    </row>
    <row r="61" spans="1:10" x14ac:dyDescent="0.3">
      <c r="A61" s="13"/>
      <c r="B61" s="14" t="str">
        <f t="shared" si="0"/>
        <v/>
      </c>
      <c r="C61" s="14"/>
      <c r="D61" s="14"/>
      <c r="E61" s="14"/>
      <c r="F61" s="16"/>
      <c r="G61" s="14" t="s">
        <v>42</v>
      </c>
      <c r="H61" s="14" t="s">
        <v>43</v>
      </c>
      <c r="I61" s="14" t="s">
        <v>36</v>
      </c>
      <c r="J61" s="14"/>
    </row>
    <row r="62" spans="1:10" x14ac:dyDescent="0.3">
      <c r="A62" s="13"/>
      <c r="B62" s="14" t="str">
        <f t="shared" si="0"/>
        <v/>
      </c>
      <c r="C62" s="14"/>
      <c r="D62" s="14"/>
      <c r="E62" s="14"/>
      <c r="F62" s="16"/>
      <c r="G62" s="14" t="s">
        <v>42</v>
      </c>
      <c r="H62" s="14" t="s">
        <v>43</v>
      </c>
      <c r="I62" s="14" t="s">
        <v>36</v>
      </c>
      <c r="J62" s="14"/>
    </row>
    <row r="63" spans="1:10" x14ac:dyDescent="0.3">
      <c r="A63" s="13"/>
      <c r="B63" s="14" t="str">
        <f t="shared" si="0"/>
        <v/>
      </c>
      <c r="C63" s="14"/>
      <c r="D63" s="14"/>
      <c r="E63" s="14"/>
      <c r="F63" s="16"/>
      <c r="G63" s="14" t="s">
        <v>42</v>
      </c>
      <c r="H63" s="14" t="s">
        <v>43</v>
      </c>
      <c r="I63" s="14" t="s">
        <v>36</v>
      </c>
      <c r="J63" s="14"/>
    </row>
    <row r="64" spans="1:10" x14ac:dyDescent="0.3">
      <c r="A64" s="13"/>
      <c r="B64" s="14" t="str">
        <f t="shared" si="0"/>
        <v/>
      </c>
      <c r="C64" s="14"/>
      <c r="D64" s="14"/>
      <c r="E64" s="14"/>
      <c r="F64" s="16"/>
      <c r="G64" s="14" t="s">
        <v>42</v>
      </c>
      <c r="H64" s="14" t="s">
        <v>43</v>
      </c>
      <c r="I64" s="14" t="s">
        <v>36</v>
      </c>
      <c r="J64" s="14"/>
    </row>
    <row r="65" spans="1:10" x14ac:dyDescent="0.3">
      <c r="A65" s="13"/>
      <c r="B65" s="14" t="str">
        <f t="shared" si="0"/>
        <v/>
      </c>
      <c r="C65" s="14"/>
      <c r="D65" s="14"/>
      <c r="E65" s="14"/>
      <c r="F65" s="16"/>
      <c r="G65" s="14" t="s">
        <v>42</v>
      </c>
      <c r="H65" s="14" t="s">
        <v>43</v>
      </c>
      <c r="I65" s="14" t="s">
        <v>36</v>
      </c>
      <c r="J65" s="14"/>
    </row>
    <row r="66" spans="1:10" x14ac:dyDescent="0.3">
      <c r="A66" s="13"/>
      <c r="B66" s="14" t="str">
        <f t="shared" ref="B66:B129" si="1">IF(A66="","", "G"&amp;TEXT(A66,"yymmdd")&amp;"-"&amp;TEXT(ROW()-1,"0000"))</f>
        <v/>
      </c>
      <c r="C66" s="14"/>
      <c r="D66" s="14"/>
      <c r="E66" s="14"/>
      <c r="F66" s="16"/>
      <c r="G66" s="14" t="s">
        <v>42</v>
      </c>
      <c r="H66" s="14" t="s">
        <v>43</v>
      </c>
      <c r="I66" s="14" t="s">
        <v>36</v>
      </c>
      <c r="J66" s="14"/>
    </row>
    <row r="67" spans="1:10" x14ac:dyDescent="0.3">
      <c r="A67" s="13"/>
      <c r="B67" s="14" t="str">
        <f t="shared" si="1"/>
        <v/>
      </c>
      <c r="C67" s="14"/>
      <c r="D67" s="14"/>
      <c r="E67" s="14"/>
      <c r="F67" s="16"/>
      <c r="G67" s="14" t="s">
        <v>42</v>
      </c>
      <c r="H67" s="14" t="s">
        <v>43</v>
      </c>
      <c r="I67" s="14" t="s">
        <v>36</v>
      </c>
      <c r="J67" s="14"/>
    </row>
    <row r="68" spans="1:10" x14ac:dyDescent="0.3">
      <c r="A68" s="13"/>
      <c r="B68" s="14" t="str">
        <f t="shared" si="1"/>
        <v/>
      </c>
      <c r="C68" s="14"/>
      <c r="D68" s="14"/>
      <c r="E68" s="14"/>
      <c r="F68" s="16"/>
      <c r="G68" s="14" t="s">
        <v>42</v>
      </c>
      <c r="H68" s="14" t="s">
        <v>43</v>
      </c>
      <c r="I68" s="14" t="s">
        <v>36</v>
      </c>
      <c r="J68" s="14"/>
    </row>
    <row r="69" spans="1:10" x14ac:dyDescent="0.3">
      <c r="A69" s="13"/>
      <c r="B69" s="14" t="str">
        <f t="shared" si="1"/>
        <v/>
      </c>
      <c r="C69" s="14"/>
      <c r="D69" s="14"/>
      <c r="E69" s="14"/>
      <c r="F69" s="16"/>
      <c r="G69" s="14" t="s">
        <v>42</v>
      </c>
      <c r="H69" s="14" t="s">
        <v>43</v>
      </c>
      <c r="I69" s="14" t="s">
        <v>36</v>
      </c>
      <c r="J69" s="14"/>
    </row>
    <row r="70" spans="1:10" x14ac:dyDescent="0.3">
      <c r="A70" s="13"/>
      <c r="B70" s="14" t="str">
        <f t="shared" si="1"/>
        <v/>
      </c>
      <c r="C70" s="14"/>
      <c r="D70" s="14"/>
      <c r="E70" s="14"/>
      <c r="F70" s="16"/>
      <c r="G70" s="14" t="s">
        <v>42</v>
      </c>
      <c r="H70" s="14" t="s">
        <v>43</v>
      </c>
      <c r="I70" s="14" t="s">
        <v>36</v>
      </c>
      <c r="J70" s="14"/>
    </row>
    <row r="71" spans="1:10" x14ac:dyDescent="0.3">
      <c r="A71" s="13"/>
      <c r="B71" s="14" t="str">
        <f t="shared" si="1"/>
        <v/>
      </c>
      <c r="C71" s="14"/>
      <c r="D71" s="14"/>
      <c r="E71" s="14"/>
      <c r="F71" s="16"/>
      <c r="G71" s="14" t="s">
        <v>42</v>
      </c>
      <c r="H71" s="14" t="s">
        <v>43</v>
      </c>
      <c r="I71" s="14" t="s">
        <v>36</v>
      </c>
      <c r="J71" s="14"/>
    </row>
    <row r="72" spans="1:10" x14ac:dyDescent="0.3">
      <c r="A72" s="13"/>
      <c r="B72" s="14" t="str">
        <f t="shared" si="1"/>
        <v/>
      </c>
      <c r="C72" s="14"/>
      <c r="D72" s="14"/>
      <c r="E72" s="14"/>
      <c r="F72" s="16"/>
      <c r="G72" s="14" t="s">
        <v>42</v>
      </c>
      <c r="H72" s="14" t="s">
        <v>43</v>
      </c>
      <c r="I72" s="14" t="s">
        <v>36</v>
      </c>
      <c r="J72" s="14"/>
    </row>
    <row r="73" spans="1:10" x14ac:dyDescent="0.3">
      <c r="A73" s="13"/>
      <c r="B73" s="14" t="str">
        <f t="shared" si="1"/>
        <v/>
      </c>
      <c r="C73" s="14"/>
      <c r="D73" s="14"/>
      <c r="E73" s="14"/>
      <c r="F73" s="16"/>
      <c r="G73" s="14" t="s">
        <v>42</v>
      </c>
      <c r="H73" s="14" t="s">
        <v>43</v>
      </c>
      <c r="I73" s="14" t="s">
        <v>36</v>
      </c>
      <c r="J73" s="14"/>
    </row>
    <row r="74" spans="1:10" x14ac:dyDescent="0.3">
      <c r="A74" s="13"/>
      <c r="B74" s="14" t="str">
        <f t="shared" si="1"/>
        <v/>
      </c>
      <c r="C74" s="14"/>
      <c r="D74" s="14"/>
      <c r="E74" s="14"/>
      <c r="F74" s="16"/>
      <c r="G74" s="14" t="s">
        <v>42</v>
      </c>
      <c r="H74" s="14" t="s">
        <v>43</v>
      </c>
      <c r="I74" s="14" t="s">
        <v>36</v>
      </c>
      <c r="J74" s="14"/>
    </row>
    <row r="75" spans="1:10" x14ac:dyDescent="0.3">
      <c r="A75" s="13"/>
      <c r="B75" s="14" t="str">
        <f t="shared" si="1"/>
        <v/>
      </c>
      <c r="C75" s="14"/>
      <c r="D75" s="14"/>
      <c r="E75" s="14"/>
      <c r="F75" s="16"/>
      <c r="G75" s="14" t="s">
        <v>42</v>
      </c>
      <c r="H75" s="14" t="s">
        <v>43</v>
      </c>
      <c r="I75" s="14" t="s">
        <v>36</v>
      </c>
      <c r="J75" s="14"/>
    </row>
    <row r="76" spans="1:10" x14ac:dyDescent="0.3">
      <c r="A76" s="13"/>
      <c r="B76" s="14" t="str">
        <f t="shared" si="1"/>
        <v/>
      </c>
      <c r="C76" s="14"/>
      <c r="D76" s="14"/>
      <c r="E76" s="14"/>
      <c r="F76" s="16"/>
      <c r="G76" s="14" t="s">
        <v>42</v>
      </c>
      <c r="H76" s="14" t="s">
        <v>43</v>
      </c>
      <c r="I76" s="14" t="s">
        <v>36</v>
      </c>
      <c r="J76" s="14"/>
    </row>
    <row r="77" spans="1:10" x14ac:dyDescent="0.3">
      <c r="A77" s="13"/>
      <c r="B77" s="14" t="str">
        <f t="shared" si="1"/>
        <v/>
      </c>
      <c r="C77" s="14"/>
      <c r="D77" s="14"/>
      <c r="E77" s="14"/>
      <c r="F77" s="16"/>
      <c r="G77" s="14" t="s">
        <v>42</v>
      </c>
      <c r="H77" s="14" t="s">
        <v>43</v>
      </c>
      <c r="I77" s="14" t="s">
        <v>36</v>
      </c>
      <c r="J77" s="14"/>
    </row>
    <row r="78" spans="1:10" x14ac:dyDescent="0.3">
      <c r="A78" s="13"/>
      <c r="B78" s="14" t="str">
        <f t="shared" si="1"/>
        <v/>
      </c>
      <c r="C78" s="14"/>
      <c r="D78" s="14"/>
      <c r="E78" s="14"/>
      <c r="F78" s="16"/>
      <c r="G78" s="14" t="s">
        <v>42</v>
      </c>
      <c r="H78" s="14" t="s">
        <v>43</v>
      </c>
      <c r="I78" s="14" t="s">
        <v>36</v>
      </c>
      <c r="J78" s="14"/>
    </row>
    <row r="79" spans="1:10" x14ac:dyDescent="0.3">
      <c r="A79" s="13"/>
      <c r="B79" s="14" t="str">
        <f t="shared" si="1"/>
        <v/>
      </c>
      <c r="C79" s="14"/>
      <c r="D79" s="14"/>
      <c r="E79" s="14"/>
      <c r="F79" s="16"/>
      <c r="G79" s="14" t="s">
        <v>42</v>
      </c>
      <c r="H79" s="14" t="s">
        <v>43</v>
      </c>
      <c r="I79" s="14" t="s">
        <v>36</v>
      </c>
      <c r="J79" s="14"/>
    </row>
    <row r="80" spans="1:10" x14ac:dyDescent="0.3">
      <c r="A80" s="13"/>
      <c r="B80" s="14" t="str">
        <f t="shared" si="1"/>
        <v/>
      </c>
      <c r="C80" s="14"/>
      <c r="D80" s="14"/>
      <c r="E80" s="14"/>
      <c r="F80" s="16"/>
      <c r="G80" s="14" t="s">
        <v>42</v>
      </c>
      <c r="H80" s="14" t="s">
        <v>43</v>
      </c>
      <c r="I80" s="14" t="s">
        <v>36</v>
      </c>
      <c r="J80" s="14"/>
    </row>
    <row r="81" spans="1:10" x14ac:dyDescent="0.3">
      <c r="A81" s="13"/>
      <c r="B81" s="14" t="str">
        <f t="shared" si="1"/>
        <v/>
      </c>
      <c r="C81" s="14"/>
      <c r="D81" s="14"/>
      <c r="E81" s="14"/>
      <c r="F81" s="16"/>
      <c r="G81" s="14" t="s">
        <v>42</v>
      </c>
      <c r="H81" s="14" t="s">
        <v>43</v>
      </c>
      <c r="I81" s="14" t="s">
        <v>36</v>
      </c>
      <c r="J81" s="14"/>
    </row>
    <row r="82" spans="1:10" x14ac:dyDescent="0.3">
      <c r="A82" s="13"/>
      <c r="B82" s="14" t="str">
        <f t="shared" si="1"/>
        <v/>
      </c>
      <c r="C82" s="14"/>
      <c r="D82" s="14"/>
      <c r="E82" s="14"/>
      <c r="F82" s="16"/>
      <c r="G82" s="14" t="s">
        <v>42</v>
      </c>
      <c r="H82" s="14" t="s">
        <v>43</v>
      </c>
      <c r="I82" s="14" t="s">
        <v>36</v>
      </c>
      <c r="J82" s="14"/>
    </row>
    <row r="83" spans="1:10" x14ac:dyDescent="0.3">
      <c r="A83" s="13"/>
      <c r="B83" s="14" t="str">
        <f t="shared" si="1"/>
        <v/>
      </c>
      <c r="C83" s="14"/>
      <c r="D83" s="14"/>
      <c r="E83" s="14"/>
      <c r="F83" s="16"/>
      <c r="G83" s="14" t="s">
        <v>42</v>
      </c>
      <c r="H83" s="14" t="s">
        <v>43</v>
      </c>
      <c r="I83" s="14" t="s">
        <v>36</v>
      </c>
      <c r="J83" s="14"/>
    </row>
    <row r="84" spans="1:10" x14ac:dyDescent="0.3">
      <c r="A84" s="13"/>
      <c r="B84" s="14" t="str">
        <f t="shared" si="1"/>
        <v/>
      </c>
      <c r="C84" s="14"/>
      <c r="D84" s="14"/>
      <c r="E84" s="14"/>
      <c r="F84" s="16"/>
      <c r="G84" s="14" t="s">
        <v>42</v>
      </c>
      <c r="H84" s="14" t="s">
        <v>43</v>
      </c>
      <c r="I84" s="14" t="s">
        <v>36</v>
      </c>
      <c r="J84" s="14"/>
    </row>
    <row r="85" spans="1:10" x14ac:dyDescent="0.3">
      <c r="A85" s="13"/>
      <c r="B85" s="14" t="str">
        <f t="shared" si="1"/>
        <v/>
      </c>
      <c r="C85" s="14"/>
      <c r="D85" s="14"/>
      <c r="E85" s="14"/>
      <c r="F85" s="16"/>
      <c r="G85" s="14" t="s">
        <v>42</v>
      </c>
      <c r="H85" s="14" t="s">
        <v>43</v>
      </c>
      <c r="I85" s="14" t="s">
        <v>36</v>
      </c>
      <c r="J85" s="14"/>
    </row>
    <row r="86" spans="1:10" x14ac:dyDescent="0.3">
      <c r="A86" s="13"/>
      <c r="B86" s="14" t="str">
        <f t="shared" si="1"/>
        <v/>
      </c>
      <c r="C86" s="14"/>
      <c r="D86" s="14"/>
      <c r="E86" s="14"/>
      <c r="F86" s="16"/>
      <c r="G86" s="14" t="s">
        <v>42</v>
      </c>
      <c r="H86" s="14" t="s">
        <v>43</v>
      </c>
      <c r="I86" s="14" t="s">
        <v>36</v>
      </c>
      <c r="J86" s="14"/>
    </row>
    <row r="87" spans="1:10" x14ac:dyDescent="0.3">
      <c r="A87" s="13"/>
      <c r="B87" s="14" t="str">
        <f t="shared" si="1"/>
        <v/>
      </c>
      <c r="C87" s="14"/>
      <c r="D87" s="14"/>
      <c r="E87" s="14"/>
      <c r="F87" s="16"/>
      <c r="G87" s="14" t="s">
        <v>42</v>
      </c>
      <c r="H87" s="14" t="s">
        <v>43</v>
      </c>
      <c r="I87" s="14" t="s">
        <v>36</v>
      </c>
      <c r="J87" s="14"/>
    </row>
    <row r="88" spans="1:10" x14ac:dyDescent="0.3">
      <c r="A88" s="13"/>
      <c r="B88" s="14" t="str">
        <f t="shared" si="1"/>
        <v/>
      </c>
      <c r="C88" s="14"/>
      <c r="D88" s="14"/>
      <c r="E88" s="14"/>
      <c r="F88" s="16"/>
      <c r="G88" s="14" t="s">
        <v>42</v>
      </c>
      <c r="H88" s="14" t="s">
        <v>43</v>
      </c>
      <c r="I88" s="14" t="s">
        <v>36</v>
      </c>
      <c r="J88" s="14"/>
    </row>
    <row r="89" spans="1:10" x14ac:dyDescent="0.3">
      <c r="A89" s="13"/>
      <c r="B89" s="14" t="str">
        <f t="shared" si="1"/>
        <v/>
      </c>
      <c r="C89" s="14"/>
      <c r="D89" s="14"/>
      <c r="E89" s="14"/>
      <c r="F89" s="16"/>
      <c r="G89" s="14" t="s">
        <v>42</v>
      </c>
      <c r="H89" s="14" t="s">
        <v>43</v>
      </c>
      <c r="I89" s="14" t="s">
        <v>36</v>
      </c>
      <c r="J89" s="14"/>
    </row>
    <row r="90" spans="1:10" x14ac:dyDescent="0.3">
      <c r="A90" s="13"/>
      <c r="B90" s="14" t="str">
        <f t="shared" si="1"/>
        <v/>
      </c>
      <c r="C90" s="14"/>
      <c r="D90" s="14"/>
      <c r="E90" s="14"/>
      <c r="F90" s="16"/>
      <c r="G90" s="14" t="s">
        <v>42</v>
      </c>
      <c r="H90" s="14" t="s">
        <v>43</v>
      </c>
      <c r="I90" s="14" t="s">
        <v>36</v>
      </c>
      <c r="J90" s="14"/>
    </row>
    <row r="91" spans="1:10" x14ac:dyDescent="0.3">
      <c r="A91" s="13"/>
      <c r="B91" s="14" t="str">
        <f t="shared" si="1"/>
        <v/>
      </c>
      <c r="C91" s="14"/>
      <c r="D91" s="14"/>
      <c r="E91" s="14"/>
      <c r="F91" s="16"/>
      <c r="G91" s="14" t="s">
        <v>42</v>
      </c>
      <c r="H91" s="14" t="s">
        <v>43</v>
      </c>
      <c r="I91" s="14" t="s">
        <v>36</v>
      </c>
      <c r="J91" s="14"/>
    </row>
    <row r="92" spans="1:10" x14ac:dyDescent="0.3">
      <c r="A92" s="13"/>
      <c r="B92" s="14" t="str">
        <f t="shared" si="1"/>
        <v/>
      </c>
      <c r="C92" s="14"/>
      <c r="D92" s="14"/>
      <c r="E92" s="14"/>
      <c r="F92" s="16"/>
      <c r="G92" s="14" t="s">
        <v>42</v>
      </c>
      <c r="H92" s="14" t="s">
        <v>43</v>
      </c>
      <c r="I92" s="14" t="s">
        <v>36</v>
      </c>
      <c r="J92" s="14"/>
    </row>
    <row r="93" spans="1:10" x14ac:dyDescent="0.3">
      <c r="A93" s="13"/>
      <c r="B93" s="14" t="str">
        <f t="shared" si="1"/>
        <v/>
      </c>
      <c r="C93" s="14"/>
      <c r="D93" s="14"/>
      <c r="E93" s="14"/>
      <c r="F93" s="16"/>
      <c r="G93" s="14" t="s">
        <v>42</v>
      </c>
      <c r="H93" s="14" t="s">
        <v>43</v>
      </c>
      <c r="I93" s="14" t="s">
        <v>36</v>
      </c>
      <c r="J93" s="14"/>
    </row>
    <row r="94" spans="1:10" x14ac:dyDescent="0.3">
      <c r="A94" s="13"/>
      <c r="B94" s="14" t="str">
        <f t="shared" si="1"/>
        <v/>
      </c>
      <c r="C94" s="14"/>
      <c r="D94" s="14"/>
      <c r="E94" s="14"/>
      <c r="F94" s="16"/>
      <c r="G94" s="14" t="s">
        <v>42</v>
      </c>
      <c r="H94" s="14" t="s">
        <v>43</v>
      </c>
      <c r="I94" s="14" t="s">
        <v>36</v>
      </c>
      <c r="J94" s="14"/>
    </row>
    <row r="95" spans="1:10" x14ac:dyDescent="0.3">
      <c r="A95" s="13"/>
      <c r="B95" s="14" t="str">
        <f t="shared" si="1"/>
        <v/>
      </c>
      <c r="C95" s="14"/>
      <c r="D95" s="14"/>
      <c r="E95" s="14"/>
      <c r="F95" s="16"/>
      <c r="G95" s="14" t="s">
        <v>42</v>
      </c>
      <c r="H95" s="14" t="s">
        <v>43</v>
      </c>
      <c r="I95" s="14" t="s">
        <v>36</v>
      </c>
      <c r="J95" s="14"/>
    </row>
    <row r="96" spans="1:10" x14ac:dyDescent="0.3">
      <c r="A96" s="13"/>
      <c r="B96" s="14" t="str">
        <f t="shared" si="1"/>
        <v/>
      </c>
      <c r="C96" s="14"/>
      <c r="D96" s="14"/>
      <c r="E96" s="14"/>
      <c r="F96" s="16"/>
      <c r="G96" s="14" t="s">
        <v>42</v>
      </c>
      <c r="H96" s="14" t="s">
        <v>43</v>
      </c>
      <c r="I96" s="14" t="s">
        <v>36</v>
      </c>
      <c r="J96" s="14"/>
    </row>
    <row r="97" spans="1:10" x14ac:dyDescent="0.3">
      <c r="A97" s="13"/>
      <c r="B97" s="14" t="str">
        <f t="shared" si="1"/>
        <v/>
      </c>
      <c r="C97" s="14"/>
      <c r="D97" s="14"/>
      <c r="E97" s="14"/>
      <c r="F97" s="16"/>
      <c r="G97" s="14" t="s">
        <v>42</v>
      </c>
      <c r="H97" s="14" t="s">
        <v>43</v>
      </c>
      <c r="I97" s="14" t="s">
        <v>36</v>
      </c>
      <c r="J97" s="14"/>
    </row>
    <row r="98" spans="1:10" x14ac:dyDescent="0.3">
      <c r="A98" s="13"/>
      <c r="B98" s="14" t="str">
        <f t="shared" si="1"/>
        <v/>
      </c>
      <c r="C98" s="14"/>
      <c r="D98" s="14"/>
      <c r="E98" s="14"/>
      <c r="F98" s="16"/>
      <c r="G98" s="14" t="s">
        <v>42</v>
      </c>
      <c r="H98" s="14" t="s">
        <v>43</v>
      </c>
      <c r="I98" s="14" t="s">
        <v>36</v>
      </c>
      <c r="J98" s="14"/>
    </row>
    <row r="99" spans="1:10" x14ac:dyDescent="0.3">
      <c r="A99" s="13"/>
      <c r="B99" s="14" t="str">
        <f t="shared" si="1"/>
        <v/>
      </c>
      <c r="C99" s="14"/>
      <c r="D99" s="14"/>
      <c r="E99" s="14"/>
      <c r="F99" s="16"/>
      <c r="G99" s="14" t="s">
        <v>42</v>
      </c>
      <c r="H99" s="14" t="s">
        <v>43</v>
      </c>
      <c r="I99" s="14" t="s">
        <v>36</v>
      </c>
      <c r="J99" s="14"/>
    </row>
    <row r="100" spans="1:10" x14ac:dyDescent="0.3">
      <c r="A100" s="13"/>
      <c r="B100" s="14" t="str">
        <f t="shared" si="1"/>
        <v/>
      </c>
      <c r="C100" s="14"/>
      <c r="D100" s="14"/>
      <c r="E100" s="14"/>
      <c r="F100" s="16"/>
      <c r="G100" s="14" t="s">
        <v>42</v>
      </c>
      <c r="H100" s="14" t="s">
        <v>43</v>
      </c>
      <c r="I100" s="14" t="s">
        <v>36</v>
      </c>
      <c r="J100" s="14"/>
    </row>
    <row r="101" spans="1:10" x14ac:dyDescent="0.3">
      <c r="A101" s="13"/>
      <c r="B101" s="14" t="str">
        <f t="shared" si="1"/>
        <v/>
      </c>
      <c r="C101" s="14"/>
      <c r="D101" s="14"/>
      <c r="E101" s="14"/>
      <c r="F101" s="16"/>
      <c r="G101" s="14" t="s">
        <v>42</v>
      </c>
      <c r="H101" s="14" t="s">
        <v>43</v>
      </c>
      <c r="I101" s="14" t="s">
        <v>36</v>
      </c>
      <c r="J101" s="14"/>
    </row>
    <row r="102" spans="1:10" x14ac:dyDescent="0.3">
      <c r="A102" s="13"/>
      <c r="B102" s="14" t="str">
        <f t="shared" si="1"/>
        <v/>
      </c>
      <c r="C102" s="14"/>
      <c r="D102" s="14"/>
      <c r="E102" s="14"/>
      <c r="F102" s="16"/>
      <c r="G102" s="14" t="s">
        <v>42</v>
      </c>
      <c r="H102" s="14" t="s">
        <v>43</v>
      </c>
      <c r="I102" s="14" t="s">
        <v>36</v>
      </c>
      <c r="J102" s="14"/>
    </row>
    <row r="103" spans="1:10" x14ac:dyDescent="0.3">
      <c r="A103" s="13"/>
      <c r="B103" s="14" t="str">
        <f t="shared" si="1"/>
        <v/>
      </c>
      <c r="C103" s="14"/>
      <c r="D103" s="14"/>
      <c r="E103" s="14"/>
      <c r="F103" s="16"/>
      <c r="G103" s="14" t="s">
        <v>42</v>
      </c>
      <c r="H103" s="14" t="s">
        <v>43</v>
      </c>
      <c r="I103" s="14" t="s">
        <v>36</v>
      </c>
      <c r="J103" s="14"/>
    </row>
    <row r="104" spans="1:10" x14ac:dyDescent="0.3">
      <c r="A104" s="13"/>
      <c r="B104" s="14" t="str">
        <f t="shared" si="1"/>
        <v/>
      </c>
      <c r="C104" s="14"/>
      <c r="D104" s="14"/>
      <c r="E104" s="14"/>
      <c r="F104" s="16"/>
      <c r="G104" s="14" t="s">
        <v>42</v>
      </c>
      <c r="H104" s="14" t="s">
        <v>43</v>
      </c>
      <c r="I104" s="14" t="s">
        <v>36</v>
      </c>
      <c r="J104" s="14"/>
    </row>
    <row r="105" spans="1:10" x14ac:dyDescent="0.3">
      <c r="A105" s="13"/>
      <c r="B105" s="14" t="str">
        <f t="shared" si="1"/>
        <v/>
      </c>
      <c r="C105" s="14"/>
      <c r="D105" s="14"/>
      <c r="E105" s="14"/>
      <c r="F105" s="16"/>
      <c r="G105" s="14" t="s">
        <v>42</v>
      </c>
      <c r="H105" s="14" t="s">
        <v>43</v>
      </c>
      <c r="I105" s="14" t="s">
        <v>36</v>
      </c>
      <c r="J105" s="14"/>
    </row>
    <row r="106" spans="1:10" x14ac:dyDescent="0.3">
      <c r="A106" s="13"/>
      <c r="B106" s="14" t="str">
        <f t="shared" si="1"/>
        <v/>
      </c>
      <c r="C106" s="14"/>
      <c r="D106" s="14"/>
      <c r="E106" s="14"/>
      <c r="F106" s="16"/>
      <c r="G106" s="14" t="s">
        <v>42</v>
      </c>
      <c r="H106" s="14" t="s">
        <v>43</v>
      </c>
      <c r="I106" s="14" t="s">
        <v>36</v>
      </c>
      <c r="J106" s="14"/>
    </row>
    <row r="107" spans="1:10" x14ac:dyDescent="0.3">
      <c r="A107" s="13"/>
      <c r="B107" s="14" t="str">
        <f t="shared" si="1"/>
        <v/>
      </c>
      <c r="C107" s="14"/>
      <c r="D107" s="14"/>
      <c r="E107" s="14"/>
      <c r="F107" s="16"/>
      <c r="G107" s="14" t="s">
        <v>42</v>
      </c>
      <c r="H107" s="14" t="s">
        <v>43</v>
      </c>
      <c r="I107" s="14" t="s">
        <v>36</v>
      </c>
      <c r="J107" s="14"/>
    </row>
    <row r="108" spans="1:10" x14ac:dyDescent="0.3">
      <c r="A108" s="13"/>
      <c r="B108" s="14" t="str">
        <f t="shared" si="1"/>
        <v/>
      </c>
      <c r="C108" s="14"/>
      <c r="D108" s="14"/>
      <c r="E108" s="14"/>
      <c r="F108" s="16"/>
      <c r="G108" s="14" t="s">
        <v>42</v>
      </c>
      <c r="H108" s="14" t="s">
        <v>43</v>
      </c>
      <c r="I108" s="14" t="s">
        <v>36</v>
      </c>
      <c r="J108" s="14"/>
    </row>
    <row r="109" spans="1:10" x14ac:dyDescent="0.3">
      <c r="A109" s="13"/>
      <c r="B109" s="14" t="str">
        <f t="shared" si="1"/>
        <v/>
      </c>
      <c r="C109" s="14"/>
      <c r="D109" s="14"/>
      <c r="E109" s="14"/>
      <c r="F109" s="16"/>
      <c r="G109" s="14" t="s">
        <v>42</v>
      </c>
      <c r="H109" s="14" t="s">
        <v>43</v>
      </c>
      <c r="I109" s="14" t="s">
        <v>36</v>
      </c>
      <c r="J109" s="14"/>
    </row>
    <row r="110" spans="1:10" x14ac:dyDescent="0.3">
      <c r="A110" s="13"/>
      <c r="B110" s="14" t="str">
        <f t="shared" si="1"/>
        <v/>
      </c>
      <c r="C110" s="14"/>
      <c r="D110" s="14"/>
      <c r="E110" s="14"/>
      <c r="F110" s="16"/>
      <c r="G110" s="14" t="s">
        <v>42</v>
      </c>
      <c r="H110" s="14" t="s">
        <v>43</v>
      </c>
      <c r="I110" s="14" t="s">
        <v>36</v>
      </c>
      <c r="J110" s="14"/>
    </row>
    <row r="111" spans="1:10" x14ac:dyDescent="0.3">
      <c r="A111" s="13"/>
      <c r="B111" s="14" t="str">
        <f t="shared" si="1"/>
        <v/>
      </c>
      <c r="C111" s="14"/>
      <c r="D111" s="14"/>
      <c r="E111" s="14"/>
      <c r="F111" s="16"/>
      <c r="G111" s="14" t="s">
        <v>42</v>
      </c>
      <c r="H111" s="14" t="s">
        <v>43</v>
      </c>
      <c r="I111" s="14" t="s">
        <v>36</v>
      </c>
      <c r="J111" s="14"/>
    </row>
    <row r="112" spans="1:10" x14ac:dyDescent="0.3">
      <c r="A112" s="13"/>
      <c r="B112" s="14" t="str">
        <f t="shared" si="1"/>
        <v/>
      </c>
      <c r="C112" s="14"/>
      <c r="D112" s="14"/>
      <c r="E112" s="14"/>
      <c r="F112" s="16"/>
      <c r="G112" s="14" t="s">
        <v>42</v>
      </c>
      <c r="H112" s="14" t="s">
        <v>43</v>
      </c>
      <c r="I112" s="14" t="s">
        <v>36</v>
      </c>
      <c r="J112" s="14"/>
    </row>
    <row r="113" spans="1:10" x14ac:dyDescent="0.3">
      <c r="A113" s="13"/>
      <c r="B113" s="14" t="str">
        <f t="shared" si="1"/>
        <v/>
      </c>
      <c r="C113" s="14"/>
      <c r="D113" s="14"/>
      <c r="E113" s="14"/>
      <c r="F113" s="16"/>
      <c r="G113" s="14" t="s">
        <v>42</v>
      </c>
      <c r="H113" s="14" t="s">
        <v>43</v>
      </c>
      <c r="I113" s="14" t="s">
        <v>36</v>
      </c>
      <c r="J113" s="14"/>
    </row>
    <row r="114" spans="1:10" x14ac:dyDescent="0.3">
      <c r="A114" s="13"/>
      <c r="B114" s="14" t="str">
        <f t="shared" si="1"/>
        <v/>
      </c>
      <c r="C114" s="14"/>
      <c r="D114" s="14"/>
      <c r="E114" s="14"/>
      <c r="F114" s="16"/>
      <c r="G114" s="14" t="s">
        <v>42</v>
      </c>
      <c r="H114" s="14" t="s">
        <v>43</v>
      </c>
      <c r="I114" s="14" t="s">
        <v>36</v>
      </c>
      <c r="J114" s="14"/>
    </row>
    <row r="115" spans="1:10" x14ac:dyDescent="0.3">
      <c r="A115" s="13"/>
      <c r="B115" s="14" t="str">
        <f t="shared" si="1"/>
        <v/>
      </c>
      <c r="C115" s="14"/>
      <c r="D115" s="14"/>
      <c r="E115" s="14"/>
      <c r="F115" s="16"/>
      <c r="G115" s="14" t="s">
        <v>42</v>
      </c>
      <c r="H115" s="14" t="s">
        <v>43</v>
      </c>
      <c r="I115" s="14" t="s">
        <v>36</v>
      </c>
      <c r="J115" s="14"/>
    </row>
    <row r="116" spans="1:10" x14ac:dyDescent="0.3">
      <c r="A116" s="13"/>
      <c r="B116" s="14" t="str">
        <f t="shared" si="1"/>
        <v/>
      </c>
      <c r="C116" s="14"/>
      <c r="D116" s="14"/>
      <c r="E116" s="14"/>
      <c r="F116" s="16"/>
      <c r="G116" s="14" t="s">
        <v>42</v>
      </c>
      <c r="H116" s="14" t="s">
        <v>43</v>
      </c>
      <c r="I116" s="14" t="s">
        <v>36</v>
      </c>
      <c r="J116" s="14"/>
    </row>
    <row r="117" spans="1:10" x14ac:dyDescent="0.3">
      <c r="A117" s="13"/>
      <c r="B117" s="14" t="str">
        <f t="shared" si="1"/>
        <v/>
      </c>
      <c r="C117" s="14"/>
      <c r="D117" s="14"/>
      <c r="E117" s="14"/>
      <c r="F117" s="16"/>
      <c r="G117" s="14" t="s">
        <v>42</v>
      </c>
      <c r="H117" s="14" t="s">
        <v>43</v>
      </c>
      <c r="I117" s="14" t="s">
        <v>36</v>
      </c>
      <c r="J117" s="14"/>
    </row>
    <row r="118" spans="1:10" x14ac:dyDescent="0.3">
      <c r="A118" s="13"/>
      <c r="B118" s="14" t="str">
        <f t="shared" si="1"/>
        <v/>
      </c>
      <c r="C118" s="14"/>
      <c r="D118" s="14"/>
      <c r="E118" s="14"/>
      <c r="F118" s="16"/>
      <c r="G118" s="14" t="s">
        <v>42</v>
      </c>
      <c r="H118" s="14" t="s">
        <v>43</v>
      </c>
      <c r="I118" s="14" t="s">
        <v>36</v>
      </c>
      <c r="J118" s="14"/>
    </row>
    <row r="119" spans="1:10" x14ac:dyDescent="0.3">
      <c r="A119" s="13"/>
      <c r="B119" s="14" t="str">
        <f t="shared" si="1"/>
        <v/>
      </c>
      <c r="C119" s="14"/>
      <c r="D119" s="14"/>
      <c r="E119" s="14"/>
      <c r="F119" s="16"/>
      <c r="G119" s="14" t="s">
        <v>42</v>
      </c>
      <c r="H119" s="14" t="s">
        <v>43</v>
      </c>
      <c r="I119" s="14" t="s">
        <v>36</v>
      </c>
      <c r="J119" s="14"/>
    </row>
    <row r="120" spans="1:10" x14ac:dyDescent="0.3">
      <c r="A120" s="13"/>
      <c r="B120" s="14" t="str">
        <f t="shared" si="1"/>
        <v/>
      </c>
      <c r="C120" s="14"/>
      <c r="D120" s="14"/>
      <c r="E120" s="14"/>
      <c r="F120" s="16"/>
      <c r="G120" s="14" t="s">
        <v>42</v>
      </c>
      <c r="H120" s="14" t="s">
        <v>43</v>
      </c>
      <c r="I120" s="14" t="s">
        <v>36</v>
      </c>
      <c r="J120" s="14"/>
    </row>
    <row r="121" spans="1:10" x14ac:dyDescent="0.3">
      <c r="A121" s="13"/>
      <c r="B121" s="14" t="str">
        <f t="shared" si="1"/>
        <v/>
      </c>
      <c r="C121" s="14"/>
      <c r="D121" s="14"/>
      <c r="E121" s="14"/>
      <c r="F121" s="16"/>
      <c r="G121" s="14" t="s">
        <v>42</v>
      </c>
      <c r="H121" s="14" t="s">
        <v>43</v>
      </c>
      <c r="I121" s="14" t="s">
        <v>36</v>
      </c>
      <c r="J121" s="14"/>
    </row>
    <row r="122" spans="1:10" x14ac:dyDescent="0.3">
      <c r="A122" s="13"/>
      <c r="B122" s="14" t="str">
        <f t="shared" si="1"/>
        <v/>
      </c>
      <c r="C122" s="14"/>
      <c r="D122" s="14"/>
      <c r="E122" s="14"/>
      <c r="F122" s="16"/>
      <c r="G122" s="14" t="s">
        <v>42</v>
      </c>
      <c r="H122" s="14" t="s">
        <v>43</v>
      </c>
      <c r="I122" s="14" t="s">
        <v>36</v>
      </c>
      <c r="J122" s="14"/>
    </row>
    <row r="123" spans="1:10" x14ac:dyDescent="0.3">
      <c r="A123" s="13"/>
      <c r="B123" s="14" t="str">
        <f t="shared" si="1"/>
        <v/>
      </c>
      <c r="C123" s="14"/>
      <c r="D123" s="14"/>
      <c r="E123" s="14"/>
      <c r="F123" s="16"/>
      <c r="G123" s="14" t="s">
        <v>42</v>
      </c>
      <c r="H123" s="14" t="s">
        <v>43</v>
      </c>
      <c r="I123" s="14" t="s">
        <v>36</v>
      </c>
      <c r="J123" s="14"/>
    </row>
    <row r="124" spans="1:10" x14ac:dyDescent="0.3">
      <c r="A124" s="13"/>
      <c r="B124" s="14" t="str">
        <f t="shared" si="1"/>
        <v/>
      </c>
      <c r="C124" s="14"/>
      <c r="D124" s="14"/>
      <c r="E124" s="14"/>
      <c r="F124" s="16"/>
      <c r="G124" s="14" t="s">
        <v>42</v>
      </c>
      <c r="H124" s="14" t="s">
        <v>43</v>
      </c>
      <c r="I124" s="14" t="s">
        <v>36</v>
      </c>
      <c r="J124" s="14"/>
    </row>
    <row r="125" spans="1:10" x14ac:dyDescent="0.3">
      <c r="A125" s="13"/>
      <c r="B125" s="14" t="str">
        <f t="shared" si="1"/>
        <v/>
      </c>
      <c r="C125" s="14"/>
      <c r="D125" s="14"/>
      <c r="E125" s="14"/>
      <c r="F125" s="16"/>
      <c r="G125" s="14" t="s">
        <v>42</v>
      </c>
      <c r="H125" s="14" t="s">
        <v>43</v>
      </c>
      <c r="I125" s="14" t="s">
        <v>36</v>
      </c>
      <c r="J125" s="14"/>
    </row>
    <row r="126" spans="1:10" x14ac:dyDescent="0.3">
      <c r="A126" s="13"/>
      <c r="B126" s="14" t="str">
        <f t="shared" si="1"/>
        <v/>
      </c>
      <c r="C126" s="14"/>
      <c r="D126" s="14"/>
      <c r="E126" s="14"/>
      <c r="F126" s="16"/>
      <c r="G126" s="14" t="s">
        <v>42</v>
      </c>
      <c r="H126" s="14" t="s">
        <v>43</v>
      </c>
      <c r="I126" s="14" t="s">
        <v>36</v>
      </c>
      <c r="J126" s="14"/>
    </row>
    <row r="127" spans="1:10" x14ac:dyDescent="0.3">
      <c r="A127" s="13"/>
      <c r="B127" s="14" t="str">
        <f t="shared" si="1"/>
        <v/>
      </c>
      <c r="C127" s="14"/>
      <c r="D127" s="14"/>
      <c r="E127" s="14"/>
      <c r="F127" s="16"/>
      <c r="G127" s="14" t="s">
        <v>42</v>
      </c>
      <c r="H127" s="14" t="s">
        <v>43</v>
      </c>
      <c r="I127" s="14" t="s">
        <v>36</v>
      </c>
      <c r="J127" s="14"/>
    </row>
    <row r="128" spans="1:10" x14ac:dyDescent="0.3">
      <c r="A128" s="13"/>
      <c r="B128" s="14" t="str">
        <f t="shared" si="1"/>
        <v/>
      </c>
      <c r="C128" s="14"/>
      <c r="D128" s="14"/>
      <c r="E128" s="14"/>
      <c r="F128" s="16"/>
      <c r="G128" s="14" t="s">
        <v>42</v>
      </c>
      <c r="H128" s="14" t="s">
        <v>43</v>
      </c>
      <c r="I128" s="14" t="s">
        <v>36</v>
      </c>
      <c r="J128" s="14"/>
    </row>
    <row r="129" spans="1:10" x14ac:dyDescent="0.3">
      <c r="A129" s="13"/>
      <c r="B129" s="14" t="str">
        <f t="shared" si="1"/>
        <v/>
      </c>
      <c r="C129" s="14"/>
      <c r="D129" s="14"/>
      <c r="E129" s="14"/>
      <c r="F129" s="16"/>
      <c r="G129" s="14" t="s">
        <v>42</v>
      </c>
      <c r="H129" s="14" t="s">
        <v>43</v>
      </c>
      <c r="I129" s="14" t="s">
        <v>36</v>
      </c>
      <c r="J129" s="14"/>
    </row>
    <row r="130" spans="1:10" x14ac:dyDescent="0.3">
      <c r="A130" s="13"/>
      <c r="B130" s="14" t="str">
        <f t="shared" ref="B130:B193" si="2">IF(A130="","", "G"&amp;TEXT(A130,"yymmdd")&amp;"-"&amp;TEXT(ROW()-1,"0000"))</f>
        <v/>
      </c>
      <c r="C130" s="14"/>
      <c r="D130" s="14"/>
      <c r="E130" s="14"/>
      <c r="F130" s="16"/>
      <c r="G130" s="14" t="s">
        <v>42</v>
      </c>
      <c r="H130" s="14" t="s">
        <v>43</v>
      </c>
      <c r="I130" s="14" t="s">
        <v>36</v>
      </c>
      <c r="J130" s="14"/>
    </row>
    <row r="131" spans="1:10" x14ac:dyDescent="0.3">
      <c r="A131" s="13"/>
      <c r="B131" s="14" t="str">
        <f t="shared" si="2"/>
        <v/>
      </c>
      <c r="C131" s="14"/>
      <c r="D131" s="14"/>
      <c r="E131" s="14"/>
      <c r="F131" s="16"/>
      <c r="G131" s="14" t="s">
        <v>42</v>
      </c>
      <c r="H131" s="14" t="s">
        <v>43</v>
      </c>
      <c r="I131" s="14" t="s">
        <v>36</v>
      </c>
      <c r="J131" s="14"/>
    </row>
    <row r="132" spans="1:10" x14ac:dyDescent="0.3">
      <c r="A132" s="13"/>
      <c r="B132" s="14" t="str">
        <f t="shared" si="2"/>
        <v/>
      </c>
      <c r="C132" s="14"/>
      <c r="D132" s="14"/>
      <c r="E132" s="14"/>
      <c r="F132" s="16"/>
      <c r="G132" s="14" t="s">
        <v>42</v>
      </c>
      <c r="H132" s="14" t="s">
        <v>43</v>
      </c>
      <c r="I132" s="14" t="s">
        <v>36</v>
      </c>
      <c r="J132" s="14"/>
    </row>
    <row r="133" spans="1:10" x14ac:dyDescent="0.3">
      <c r="A133" s="13"/>
      <c r="B133" s="14" t="str">
        <f t="shared" si="2"/>
        <v/>
      </c>
      <c r="C133" s="14"/>
      <c r="D133" s="14"/>
      <c r="E133" s="14"/>
      <c r="F133" s="16"/>
      <c r="G133" s="14" t="s">
        <v>42</v>
      </c>
      <c r="H133" s="14" t="s">
        <v>43</v>
      </c>
      <c r="I133" s="14" t="s">
        <v>36</v>
      </c>
      <c r="J133" s="14"/>
    </row>
    <row r="134" spans="1:10" x14ac:dyDescent="0.3">
      <c r="A134" s="13"/>
      <c r="B134" s="14" t="str">
        <f t="shared" si="2"/>
        <v/>
      </c>
      <c r="C134" s="14"/>
      <c r="D134" s="14"/>
      <c r="E134" s="14"/>
      <c r="F134" s="16"/>
      <c r="G134" s="14" t="s">
        <v>42</v>
      </c>
      <c r="H134" s="14" t="s">
        <v>43</v>
      </c>
      <c r="I134" s="14" t="s">
        <v>36</v>
      </c>
      <c r="J134" s="14"/>
    </row>
    <row r="135" spans="1:10" x14ac:dyDescent="0.3">
      <c r="A135" s="13"/>
      <c r="B135" s="14" t="str">
        <f t="shared" si="2"/>
        <v/>
      </c>
      <c r="C135" s="14"/>
      <c r="D135" s="14"/>
      <c r="E135" s="14"/>
      <c r="F135" s="16"/>
      <c r="G135" s="14" t="s">
        <v>42</v>
      </c>
      <c r="H135" s="14" t="s">
        <v>43</v>
      </c>
      <c r="I135" s="14" t="s">
        <v>36</v>
      </c>
      <c r="J135" s="14"/>
    </row>
    <row r="136" spans="1:10" x14ac:dyDescent="0.3">
      <c r="A136" s="13"/>
      <c r="B136" s="14" t="str">
        <f t="shared" si="2"/>
        <v/>
      </c>
      <c r="C136" s="14"/>
      <c r="D136" s="14"/>
      <c r="E136" s="14"/>
      <c r="F136" s="16"/>
      <c r="G136" s="14" t="s">
        <v>42</v>
      </c>
      <c r="H136" s="14" t="s">
        <v>43</v>
      </c>
      <c r="I136" s="14" t="s">
        <v>36</v>
      </c>
      <c r="J136" s="14"/>
    </row>
    <row r="137" spans="1:10" x14ac:dyDescent="0.3">
      <c r="A137" s="13"/>
      <c r="B137" s="14" t="str">
        <f t="shared" si="2"/>
        <v/>
      </c>
      <c r="C137" s="14"/>
      <c r="D137" s="14"/>
      <c r="E137" s="14"/>
      <c r="F137" s="16"/>
      <c r="G137" s="14" t="s">
        <v>42</v>
      </c>
      <c r="H137" s="14" t="s">
        <v>43</v>
      </c>
      <c r="I137" s="14" t="s">
        <v>36</v>
      </c>
      <c r="J137" s="14"/>
    </row>
    <row r="138" spans="1:10" x14ac:dyDescent="0.3">
      <c r="A138" s="13"/>
      <c r="B138" s="14" t="str">
        <f t="shared" si="2"/>
        <v/>
      </c>
      <c r="C138" s="14"/>
      <c r="D138" s="14"/>
      <c r="E138" s="14"/>
      <c r="F138" s="16"/>
      <c r="G138" s="14" t="s">
        <v>42</v>
      </c>
      <c r="H138" s="14" t="s">
        <v>43</v>
      </c>
      <c r="I138" s="14" t="s">
        <v>36</v>
      </c>
      <c r="J138" s="14"/>
    </row>
    <row r="139" spans="1:10" x14ac:dyDescent="0.3">
      <c r="A139" s="13"/>
      <c r="B139" s="14" t="str">
        <f t="shared" si="2"/>
        <v/>
      </c>
      <c r="C139" s="14"/>
      <c r="D139" s="14"/>
      <c r="E139" s="14"/>
      <c r="F139" s="16"/>
      <c r="G139" s="14" t="s">
        <v>42</v>
      </c>
      <c r="H139" s="14" t="s">
        <v>43</v>
      </c>
      <c r="I139" s="14" t="s">
        <v>36</v>
      </c>
      <c r="J139" s="14"/>
    </row>
    <row r="140" spans="1:10" x14ac:dyDescent="0.3">
      <c r="A140" s="13"/>
      <c r="B140" s="14" t="str">
        <f t="shared" si="2"/>
        <v/>
      </c>
      <c r="C140" s="14"/>
      <c r="D140" s="14"/>
      <c r="E140" s="14"/>
      <c r="F140" s="16"/>
      <c r="G140" s="14" t="s">
        <v>42</v>
      </c>
      <c r="H140" s="14" t="s">
        <v>43</v>
      </c>
      <c r="I140" s="14" t="s">
        <v>36</v>
      </c>
      <c r="J140" s="14"/>
    </row>
    <row r="141" spans="1:10" x14ac:dyDescent="0.3">
      <c r="A141" s="13"/>
      <c r="B141" s="14" t="str">
        <f t="shared" si="2"/>
        <v/>
      </c>
      <c r="C141" s="14"/>
      <c r="D141" s="14"/>
      <c r="E141" s="14"/>
      <c r="F141" s="16"/>
      <c r="G141" s="14" t="s">
        <v>42</v>
      </c>
      <c r="H141" s="14" t="s">
        <v>43</v>
      </c>
      <c r="I141" s="14" t="s">
        <v>36</v>
      </c>
      <c r="J141" s="14"/>
    </row>
    <row r="142" spans="1:10" x14ac:dyDescent="0.3">
      <c r="A142" s="13"/>
      <c r="B142" s="14" t="str">
        <f t="shared" si="2"/>
        <v/>
      </c>
      <c r="C142" s="14"/>
      <c r="D142" s="14"/>
      <c r="E142" s="14"/>
      <c r="F142" s="16"/>
      <c r="G142" s="14" t="s">
        <v>42</v>
      </c>
      <c r="H142" s="14" t="s">
        <v>43</v>
      </c>
      <c r="I142" s="14" t="s">
        <v>36</v>
      </c>
      <c r="J142" s="14"/>
    </row>
    <row r="143" spans="1:10" x14ac:dyDescent="0.3">
      <c r="A143" s="13"/>
      <c r="B143" s="14" t="str">
        <f t="shared" si="2"/>
        <v/>
      </c>
      <c r="C143" s="14"/>
      <c r="D143" s="14"/>
      <c r="E143" s="14"/>
      <c r="F143" s="16"/>
      <c r="G143" s="14" t="s">
        <v>42</v>
      </c>
      <c r="H143" s="14" t="s">
        <v>43</v>
      </c>
      <c r="I143" s="14" t="s">
        <v>36</v>
      </c>
      <c r="J143" s="14"/>
    </row>
    <row r="144" spans="1:10" x14ac:dyDescent="0.3">
      <c r="A144" s="13"/>
      <c r="B144" s="14" t="str">
        <f t="shared" si="2"/>
        <v/>
      </c>
      <c r="C144" s="14"/>
      <c r="D144" s="14"/>
      <c r="E144" s="14"/>
      <c r="F144" s="16"/>
      <c r="G144" s="14" t="s">
        <v>42</v>
      </c>
      <c r="H144" s="14" t="s">
        <v>43</v>
      </c>
      <c r="I144" s="14" t="s">
        <v>36</v>
      </c>
      <c r="J144" s="14"/>
    </row>
    <row r="145" spans="1:10" x14ac:dyDescent="0.3">
      <c r="A145" s="13"/>
      <c r="B145" s="14" t="str">
        <f t="shared" si="2"/>
        <v/>
      </c>
      <c r="C145" s="14"/>
      <c r="D145" s="14"/>
      <c r="E145" s="14"/>
      <c r="F145" s="16"/>
      <c r="G145" s="14" t="s">
        <v>42</v>
      </c>
      <c r="H145" s="14" t="s">
        <v>43</v>
      </c>
      <c r="I145" s="14" t="s">
        <v>36</v>
      </c>
      <c r="J145" s="14"/>
    </row>
    <row r="146" spans="1:10" x14ac:dyDescent="0.3">
      <c r="A146" s="13"/>
      <c r="B146" s="14" t="str">
        <f t="shared" si="2"/>
        <v/>
      </c>
      <c r="C146" s="14"/>
      <c r="D146" s="14"/>
      <c r="E146" s="14"/>
      <c r="F146" s="16"/>
      <c r="G146" s="14" t="s">
        <v>42</v>
      </c>
      <c r="H146" s="14" t="s">
        <v>43</v>
      </c>
      <c r="I146" s="14" t="s">
        <v>36</v>
      </c>
      <c r="J146" s="14"/>
    </row>
    <row r="147" spans="1:10" x14ac:dyDescent="0.3">
      <c r="A147" s="13"/>
      <c r="B147" s="14" t="str">
        <f t="shared" si="2"/>
        <v/>
      </c>
      <c r="C147" s="14"/>
      <c r="D147" s="14"/>
      <c r="E147" s="14"/>
      <c r="F147" s="16"/>
      <c r="G147" s="14" t="s">
        <v>42</v>
      </c>
      <c r="H147" s="14" t="s">
        <v>43</v>
      </c>
      <c r="I147" s="14" t="s">
        <v>36</v>
      </c>
      <c r="J147" s="14"/>
    </row>
    <row r="148" spans="1:10" x14ac:dyDescent="0.3">
      <c r="A148" s="13"/>
      <c r="B148" s="14" t="str">
        <f t="shared" si="2"/>
        <v/>
      </c>
      <c r="C148" s="14"/>
      <c r="D148" s="14"/>
      <c r="E148" s="14"/>
      <c r="F148" s="16"/>
      <c r="G148" s="14" t="s">
        <v>42</v>
      </c>
      <c r="H148" s="14" t="s">
        <v>43</v>
      </c>
      <c r="I148" s="14" t="s">
        <v>36</v>
      </c>
      <c r="J148" s="14"/>
    </row>
    <row r="149" spans="1:10" x14ac:dyDescent="0.3">
      <c r="A149" s="13"/>
      <c r="B149" s="14" t="str">
        <f t="shared" si="2"/>
        <v/>
      </c>
      <c r="C149" s="14"/>
      <c r="D149" s="14"/>
      <c r="E149" s="14"/>
      <c r="F149" s="16"/>
      <c r="G149" s="14" t="s">
        <v>42</v>
      </c>
      <c r="H149" s="14" t="s">
        <v>43</v>
      </c>
      <c r="I149" s="14" t="s">
        <v>36</v>
      </c>
      <c r="J149" s="14"/>
    </row>
    <row r="150" spans="1:10" x14ac:dyDescent="0.3">
      <c r="A150" s="13"/>
      <c r="B150" s="14" t="str">
        <f t="shared" si="2"/>
        <v/>
      </c>
      <c r="C150" s="14"/>
      <c r="D150" s="14"/>
      <c r="E150" s="14"/>
      <c r="F150" s="16"/>
      <c r="G150" s="14" t="s">
        <v>42</v>
      </c>
      <c r="H150" s="14" t="s">
        <v>43</v>
      </c>
      <c r="I150" s="14" t="s">
        <v>36</v>
      </c>
      <c r="J150" s="14"/>
    </row>
    <row r="151" spans="1:10" x14ac:dyDescent="0.3">
      <c r="A151" s="13"/>
      <c r="B151" s="14" t="str">
        <f t="shared" si="2"/>
        <v/>
      </c>
      <c r="C151" s="14"/>
      <c r="D151" s="14"/>
      <c r="E151" s="14"/>
      <c r="F151" s="16"/>
      <c r="G151" s="14" t="s">
        <v>42</v>
      </c>
      <c r="H151" s="14" t="s">
        <v>43</v>
      </c>
      <c r="I151" s="14" t="s">
        <v>36</v>
      </c>
      <c r="J151" s="14"/>
    </row>
    <row r="152" spans="1:10" x14ac:dyDescent="0.3">
      <c r="A152" s="13"/>
      <c r="B152" s="14" t="str">
        <f t="shared" si="2"/>
        <v/>
      </c>
      <c r="C152" s="14"/>
      <c r="D152" s="14"/>
      <c r="E152" s="14"/>
      <c r="F152" s="16"/>
      <c r="G152" s="14" t="s">
        <v>42</v>
      </c>
      <c r="H152" s="14" t="s">
        <v>43</v>
      </c>
      <c r="I152" s="14" t="s">
        <v>36</v>
      </c>
      <c r="J152" s="14"/>
    </row>
    <row r="153" spans="1:10" x14ac:dyDescent="0.3">
      <c r="A153" s="13"/>
      <c r="B153" s="14" t="str">
        <f t="shared" si="2"/>
        <v/>
      </c>
      <c r="C153" s="14"/>
      <c r="D153" s="14"/>
      <c r="E153" s="14"/>
      <c r="F153" s="16"/>
      <c r="G153" s="14" t="s">
        <v>42</v>
      </c>
      <c r="H153" s="14" t="s">
        <v>43</v>
      </c>
      <c r="I153" s="14" t="s">
        <v>36</v>
      </c>
      <c r="J153" s="14"/>
    </row>
    <row r="154" spans="1:10" x14ac:dyDescent="0.3">
      <c r="A154" s="13"/>
      <c r="B154" s="14" t="str">
        <f t="shared" si="2"/>
        <v/>
      </c>
      <c r="C154" s="14"/>
      <c r="D154" s="14"/>
      <c r="E154" s="14"/>
      <c r="F154" s="16"/>
      <c r="G154" s="14" t="s">
        <v>42</v>
      </c>
      <c r="H154" s="14" t="s">
        <v>43</v>
      </c>
      <c r="I154" s="14" t="s">
        <v>36</v>
      </c>
      <c r="J154" s="14"/>
    </row>
    <row r="155" spans="1:10" x14ac:dyDescent="0.3">
      <c r="A155" s="13"/>
      <c r="B155" s="14" t="str">
        <f t="shared" si="2"/>
        <v/>
      </c>
      <c r="C155" s="14"/>
      <c r="D155" s="14"/>
      <c r="E155" s="14"/>
      <c r="F155" s="16"/>
      <c r="G155" s="14" t="s">
        <v>42</v>
      </c>
      <c r="H155" s="14" t="s">
        <v>43</v>
      </c>
      <c r="I155" s="14" t="s">
        <v>36</v>
      </c>
      <c r="J155" s="14"/>
    </row>
    <row r="156" spans="1:10" x14ac:dyDescent="0.3">
      <c r="A156" s="13"/>
      <c r="B156" s="14" t="str">
        <f t="shared" si="2"/>
        <v/>
      </c>
      <c r="C156" s="14"/>
      <c r="D156" s="14"/>
      <c r="E156" s="14"/>
      <c r="F156" s="16"/>
      <c r="G156" s="14" t="s">
        <v>42</v>
      </c>
      <c r="H156" s="14" t="s">
        <v>43</v>
      </c>
      <c r="I156" s="14" t="s">
        <v>36</v>
      </c>
      <c r="J156" s="14"/>
    </row>
    <row r="157" spans="1:10" x14ac:dyDescent="0.3">
      <c r="A157" s="13"/>
      <c r="B157" s="14" t="str">
        <f t="shared" si="2"/>
        <v/>
      </c>
      <c r="C157" s="14"/>
      <c r="D157" s="14"/>
      <c r="E157" s="14"/>
      <c r="F157" s="16"/>
      <c r="G157" s="14" t="s">
        <v>42</v>
      </c>
      <c r="H157" s="14" t="s">
        <v>43</v>
      </c>
      <c r="I157" s="14" t="s">
        <v>36</v>
      </c>
      <c r="J157" s="14"/>
    </row>
    <row r="158" spans="1:10" x14ac:dyDescent="0.3">
      <c r="A158" s="13"/>
      <c r="B158" s="14" t="str">
        <f t="shared" si="2"/>
        <v/>
      </c>
      <c r="C158" s="14"/>
      <c r="D158" s="14"/>
      <c r="E158" s="14"/>
      <c r="F158" s="16"/>
      <c r="G158" s="14" t="s">
        <v>42</v>
      </c>
      <c r="H158" s="14" t="s">
        <v>43</v>
      </c>
      <c r="I158" s="14" t="s">
        <v>36</v>
      </c>
      <c r="J158" s="14"/>
    </row>
    <row r="159" spans="1:10" x14ac:dyDescent="0.3">
      <c r="A159" s="13"/>
      <c r="B159" s="14" t="str">
        <f t="shared" si="2"/>
        <v/>
      </c>
      <c r="C159" s="14"/>
      <c r="D159" s="14"/>
      <c r="E159" s="14"/>
      <c r="F159" s="16"/>
      <c r="G159" s="14" t="s">
        <v>42</v>
      </c>
      <c r="H159" s="14" t="s">
        <v>43</v>
      </c>
      <c r="I159" s="14" t="s">
        <v>36</v>
      </c>
      <c r="J159" s="14"/>
    </row>
    <row r="160" spans="1:10" x14ac:dyDescent="0.3">
      <c r="A160" s="13"/>
      <c r="B160" s="14" t="str">
        <f t="shared" si="2"/>
        <v/>
      </c>
      <c r="C160" s="14"/>
      <c r="D160" s="14"/>
      <c r="E160" s="14"/>
      <c r="F160" s="16"/>
      <c r="G160" s="14" t="s">
        <v>42</v>
      </c>
      <c r="H160" s="14" t="s">
        <v>43</v>
      </c>
      <c r="I160" s="14" t="s">
        <v>36</v>
      </c>
      <c r="J160" s="14"/>
    </row>
    <row r="161" spans="1:10" x14ac:dyDescent="0.3">
      <c r="A161" s="13"/>
      <c r="B161" s="14" t="str">
        <f t="shared" si="2"/>
        <v/>
      </c>
      <c r="C161" s="14"/>
      <c r="D161" s="14"/>
      <c r="E161" s="14"/>
      <c r="F161" s="16"/>
      <c r="G161" s="14" t="s">
        <v>42</v>
      </c>
      <c r="H161" s="14" t="s">
        <v>43</v>
      </c>
      <c r="I161" s="14" t="s">
        <v>36</v>
      </c>
      <c r="J161" s="14"/>
    </row>
    <row r="162" spans="1:10" x14ac:dyDescent="0.3">
      <c r="A162" s="13"/>
      <c r="B162" s="14" t="str">
        <f t="shared" si="2"/>
        <v/>
      </c>
      <c r="C162" s="14"/>
      <c r="D162" s="14"/>
      <c r="E162" s="14"/>
      <c r="F162" s="16"/>
      <c r="G162" s="14" t="s">
        <v>42</v>
      </c>
      <c r="H162" s="14" t="s">
        <v>43</v>
      </c>
      <c r="I162" s="14" t="s">
        <v>36</v>
      </c>
      <c r="J162" s="14"/>
    </row>
    <row r="163" spans="1:10" x14ac:dyDescent="0.3">
      <c r="A163" s="13"/>
      <c r="B163" s="14" t="str">
        <f t="shared" si="2"/>
        <v/>
      </c>
      <c r="C163" s="14"/>
      <c r="D163" s="14"/>
      <c r="E163" s="14"/>
      <c r="F163" s="16"/>
      <c r="G163" s="14" t="s">
        <v>42</v>
      </c>
      <c r="H163" s="14" t="s">
        <v>43</v>
      </c>
      <c r="I163" s="14" t="s">
        <v>36</v>
      </c>
      <c r="J163" s="14"/>
    </row>
    <row r="164" spans="1:10" x14ac:dyDescent="0.3">
      <c r="A164" s="13"/>
      <c r="B164" s="14" t="str">
        <f t="shared" si="2"/>
        <v/>
      </c>
      <c r="C164" s="14"/>
      <c r="D164" s="14"/>
      <c r="E164" s="14"/>
      <c r="F164" s="16"/>
      <c r="G164" s="14" t="s">
        <v>42</v>
      </c>
      <c r="H164" s="14" t="s">
        <v>43</v>
      </c>
      <c r="I164" s="14" t="s">
        <v>36</v>
      </c>
      <c r="J164" s="14"/>
    </row>
    <row r="165" spans="1:10" x14ac:dyDescent="0.3">
      <c r="A165" s="13"/>
      <c r="B165" s="14" t="str">
        <f t="shared" si="2"/>
        <v/>
      </c>
      <c r="C165" s="14"/>
      <c r="D165" s="14"/>
      <c r="E165" s="14"/>
      <c r="F165" s="16"/>
      <c r="G165" s="14" t="s">
        <v>42</v>
      </c>
      <c r="H165" s="14" t="s">
        <v>43</v>
      </c>
      <c r="I165" s="14" t="s">
        <v>36</v>
      </c>
      <c r="J165" s="14"/>
    </row>
    <row r="166" spans="1:10" x14ac:dyDescent="0.3">
      <c r="A166" s="13"/>
      <c r="B166" s="14" t="str">
        <f t="shared" si="2"/>
        <v/>
      </c>
      <c r="C166" s="14"/>
      <c r="D166" s="14"/>
      <c r="E166" s="14"/>
      <c r="F166" s="16"/>
      <c r="G166" s="14" t="s">
        <v>42</v>
      </c>
      <c r="H166" s="14" t="s">
        <v>43</v>
      </c>
      <c r="I166" s="14" t="s">
        <v>36</v>
      </c>
      <c r="J166" s="14"/>
    </row>
    <row r="167" spans="1:10" x14ac:dyDescent="0.3">
      <c r="A167" s="13"/>
      <c r="B167" s="14" t="str">
        <f t="shared" si="2"/>
        <v/>
      </c>
      <c r="C167" s="14"/>
      <c r="D167" s="14"/>
      <c r="E167" s="14"/>
      <c r="F167" s="16"/>
      <c r="G167" s="14" t="s">
        <v>42</v>
      </c>
      <c r="H167" s="14" t="s">
        <v>43</v>
      </c>
      <c r="I167" s="14" t="s">
        <v>36</v>
      </c>
      <c r="J167" s="14"/>
    </row>
    <row r="168" spans="1:10" x14ac:dyDescent="0.3">
      <c r="A168" s="13"/>
      <c r="B168" s="14" t="str">
        <f t="shared" si="2"/>
        <v/>
      </c>
      <c r="C168" s="14"/>
      <c r="D168" s="14"/>
      <c r="E168" s="14"/>
      <c r="F168" s="16"/>
      <c r="G168" s="14" t="s">
        <v>42</v>
      </c>
      <c r="H168" s="14" t="s">
        <v>43</v>
      </c>
      <c r="I168" s="14" t="s">
        <v>36</v>
      </c>
      <c r="J168" s="14"/>
    </row>
    <row r="169" spans="1:10" x14ac:dyDescent="0.3">
      <c r="A169" s="13"/>
      <c r="B169" s="14" t="str">
        <f t="shared" si="2"/>
        <v/>
      </c>
      <c r="C169" s="14"/>
      <c r="D169" s="14"/>
      <c r="E169" s="14"/>
      <c r="F169" s="16"/>
      <c r="G169" s="14" t="s">
        <v>42</v>
      </c>
      <c r="H169" s="14" t="s">
        <v>43</v>
      </c>
      <c r="I169" s="14" t="s">
        <v>36</v>
      </c>
      <c r="J169" s="14"/>
    </row>
    <row r="170" spans="1:10" x14ac:dyDescent="0.3">
      <c r="A170" s="13"/>
      <c r="B170" s="14" t="str">
        <f t="shared" si="2"/>
        <v/>
      </c>
      <c r="C170" s="14"/>
      <c r="D170" s="14"/>
      <c r="E170" s="14"/>
      <c r="F170" s="16"/>
      <c r="G170" s="14" t="s">
        <v>42</v>
      </c>
      <c r="H170" s="14" t="s">
        <v>43</v>
      </c>
      <c r="I170" s="14" t="s">
        <v>36</v>
      </c>
      <c r="J170" s="14"/>
    </row>
    <row r="171" spans="1:10" x14ac:dyDescent="0.3">
      <c r="A171" s="13"/>
      <c r="B171" s="14" t="str">
        <f t="shared" si="2"/>
        <v/>
      </c>
      <c r="C171" s="14"/>
      <c r="D171" s="14"/>
      <c r="E171" s="14"/>
      <c r="F171" s="16"/>
      <c r="G171" s="14" t="s">
        <v>42</v>
      </c>
      <c r="H171" s="14" t="s">
        <v>43</v>
      </c>
      <c r="I171" s="14" t="s">
        <v>36</v>
      </c>
      <c r="J171" s="14"/>
    </row>
    <row r="172" spans="1:10" x14ac:dyDescent="0.3">
      <c r="A172" s="13"/>
      <c r="B172" s="14" t="str">
        <f t="shared" si="2"/>
        <v/>
      </c>
      <c r="C172" s="14"/>
      <c r="D172" s="14"/>
      <c r="E172" s="14"/>
      <c r="F172" s="16"/>
      <c r="G172" s="14" t="s">
        <v>42</v>
      </c>
      <c r="H172" s="14" t="s">
        <v>43</v>
      </c>
      <c r="I172" s="14" t="s">
        <v>36</v>
      </c>
      <c r="J172" s="14"/>
    </row>
    <row r="173" spans="1:10" x14ac:dyDescent="0.3">
      <c r="A173" s="13"/>
      <c r="B173" s="14" t="str">
        <f t="shared" si="2"/>
        <v/>
      </c>
      <c r="C173" s="14"/>
      <c r="D173" s="14"/>
      <c r="E173" s="14"/>
      <c r="F173" s="16"/>
      <c r="G173" s="14" t="s">
        <v>42</v>
      </c>
      <c r="H173" s="14" t="s">
        <v>43</v>
      </c>
      <c r="I173" s="14" t="s">
        <v>36</v>
      </c>
      <c r="J173" s="14"/>
    </row>
    <row r="174" spans="1:10" x14ac:dyDescent="0.3">
      <c r="A174" s="13"/>
      <c r="B174" s="14" t="str">
        <f t="shared" si="2"/>
        <v/>
      </c>
      <c r="C174" s="14"/>
      <c r="D174" s="14"/>
      <c r="E174" s="14"/>
      <c r="F174" s="16"/>
      <c r="G174" s="14" t="s">
        <v>42</v>
      </c>
      <c r="H174" s="14" t="s">
        <v>43</v>
      </c>
      <c r="I174" s="14" t="s">
        <v>36</v>
      </c>
      <c r="J174" s="14"/>
    </row>
    <row r="175" spans="1:10" x14ac:dyDescent="0.3">
      <c r="A175" s="13"/>
      <c r="B175" s="14" t="str">
        <f t="shared" si="2"/>
        <v/>
      </c>
      <c r="C175" s="14"/>
      <c r="D175" s="14"/>
      <c r="E175" s="14"/>
      <c r="F175" s="16"/>
      <c r="G175" s="14" t="s">
        <v>42</v>
      </c>
      <c r="H175" s="14" t="s">
        <v>43</v>
      </c>
      <c r="I175" s="14" t="s">
        <v>36</v>
      </c>
      <c r="J175" s="14"/>
    </row>
    <row r="176" spans="1:10" x14ac:dyDescent="0.3">
      <c r="A176" s="13"/>
      <c r="B176" s="14" t="str">
        <f t="shared" si="2"/>
        <v/>
      </c>
      <c r="C176" s="14"/>
      <c r="D176" s="14"/>
      <c r="E176" s="14"/>
      <c r="F176" s="16"/>
      <c r="G176" s="14" t="s">
        <v>42</v>
      </c>
      <c r="H176" s="14" t="s">
        <v>43</v>
      </c>
      <c r="I176" s="14" t="s">
        <v>36</v>
      </c>
      <c r="J176" s="14"/>
    </row>
    <row r="177" spans="1:10" x14ac:dyDescent="0.3">
      <c r="A177" s="13"/>
      <c r="B177" s="14" t="str">
        <f t="shared" si="2"/>
        <v/>
      </c>
      <c r="C177" s="14"/>
      <c r="D177" s="14"/>
      <c r="E177" s="14"/>
      <c r="F177" s="16"/>
      <c r="G177" s="14" t="s">
        <v>42</v>
      </c>
      <c r="H177" s="14" t="s">
        <v>43</v>
      </c>
      <c r="I177" s="14" t="s">
        <v>36</v>
      </c>
      <c r="J177" s="14"/>
    </row>
    <row r="178" spans="1:10" x14ac:dyDescent="0.3">
      <c r="A178" s="13"/>
      <c r="B178" s="14" t="str">
        <f t="shared" si="2"/>
        <v/>
      </c>
      <c r="C178" s="14"/>
      <c r="D178" s="14"/>
      <c r="E178" s="14"/>
      <c r="F178" s="16"/>
      <c r="G178" s="14" t="s">
        <v>42</v>
      </c>
      <c r="H178" s="14" t="s">
        <v>43</v>
      </c>
      <c r="I178" s="14" t="s">
        <v>36</v>
      </c>
      <c r="J178" s="14"/>
    </row>
    <row r="179" spans="1:10" x14ac:dyDescent="0.3">
      <c r="A179" s="13"/>
      <c r="B179" s="14" t="str">
        <f t="shared" si="2"/>
        <v/>
      </c>
      <c r="C179" s="14"/>
      <c r="D179" s="14"/>
      <c r="E179" s="14"/>
      <c r="F179" s="16"/>
      <c r="G179" s="14" t="s">
        <v>42</v>
      </c>
      <c r="H179" s="14" t="s">
        <v>43</v>
      </c>
      <c r="I179" s="14" t="s">
        <v>36</v>
      </c>
      <c r="J179" s="14"/>
    </row>
    <row r="180" spans="1:10" x14ac:dyDescent="0.3">
      <c r="A180" s="13"/>
      <c r="B180" s="14" t="str">
        <f t="shared" si="2"/>
        <v/>
      </c>
      <c r="C180" s="14"/>
      <c r="D180" s="14"/>
      <c r="E180" s="14"/>
      <c r="F180" s="16"/>
      <c r="G180" s="14" t="s">
        <v>42</v>
      </c>
      <c r="H180" s="14" t="s">
        <v>43</v>
      </c>
      <c r="I180" s="14" t="s">
        <v>36</v>
      </c>
      <c r="J180" s="14"/>
    </row>
    <row r="181" spans="1:10" x14ac:dyDescent="0.3">
      <c r="A181" s="13"/>
      <c r="B181" s="14" t="str">
        <f t="shared" si="2"/>
        <v/>
      </c>
      <c r="C181" s="14"/>
      <c r="D181" s="14"/>
      <c r="E181" s="14"/>
      <c r="F181" s="16"/>
      <c r="G181" s="14" t="s">
        <v>42</v>
      </c>
      <c r="H181" s="14" t="s">
        <v>43</v>
      </c>
      <c r="I181" s="14" t="s">
        <v>36</v>
      </c>
      <c r="J181" s="14"/>
    </row>
    <row r="182" spans="1:10" x14ac:dyDescent="0.3">
      <c r="A182" s="13"/>
      <c r="B182" s="14" t="str">
        <f t="shared" si="2"/>
        <v/>
      </c>
      <c r="C182" s="14"/>
      <c r="D182" s="14"/>
      <c r="E182" s="14"/>
      <c r="F182" s="16"/>
      <c r="G182" s="14" t="s">
        <v>42</v>
      </c>
      <c r="H182" s="14" t="s">
        <v>43</v>
      </c>
      <c r="I182" s="14" t="s">
        <v>36</v>
      </c>
      <c r="J182" s="14"/>
    </row>
    <row r="183" spans="1:10" x14ac:dyDescent="0.3">
      <c r="A183" s="13"/>
      <c r="B183" s="14" t="str">
        <f t="shared" si="2"/>
        <v/>
      </c>
      <c r="C183" s="14"/>
      <c r="D183" s="14"/>
      <c r="E183" s="14"/>
      <c r="F183" s="16"/>
      <c r="G183" s="14" t="s">
        <v>42</v>
      </c>
      <c r="H183" s="14" t="s">
        <v>43</v>
      </c>
      <c r="I183" s="14" t="s">
        <v>36</v>
      </c>
      <c r="J183" s="14"/>
    </row>
    <row r="184" spans="1:10" x14ac:dyDescent="0.3">
      <c r="A184" s="13"/>
      <c r="B184" s="14" t="str">
        <f t="shared" si="2"/>
        <v/>
      </c>
      <c r="C184" s="14"/>
      <c r="D184" s="14"/>
      <c r="E184" s="14"/>
      <c r="F184" s="16"/>
      <c r="G184" s="14" t="s">
        <v>42</v>
      </c>
      <c r="H184" s="14" t="s">
        <v>43</v>
      </c>
      <c r="I184" s="14" t="s">
        <v>36</v>
      </c>
      <c r="J184" s="14"/>
    </row>
    <row r="185" spans="1:10" x14ac:dyDescent="0.3">
      <c r="A185" s="13"/>
      <c r="B185" s="14" t="str">
        <f t="shared" si="2"/>
        <v/>
      </c>
      <c r="C185" s="14"/>
      <c r="D185" s="14"/>
      <c r="E185" s="14"/>
      <c r="F185" s="16"/>
      <c r="G185" s="14" t="s">
        <v>42</v>
      </c>
      <c r="H185" s="14" t="s">
        <v>43</v>
      </c>
      <c r="I185" s="14" t="s">
        <v>36</v>
      </c>
      <c r="J185" s="14"/>
    </row>
    <row r="186" spans="1:10" x14ac:dyDescent="0.3">
      <c r="A186" s="13"/>
      <c r="B186" s="14" t="str">
        <f t="shared" si="2"/>
        <v/>
      </c>
      <c r="C186" s="14"/>
      <c r="D186" s="14"/>
      <c r="E186" s="14"/>
      <c r="F186" s="16"/>
      <c r="G186" s="14" t="s">
        <v>42</v>
      </c>
      <c r="H186" s="14" t="s">
        <v>43</v>
      </c>
      <c r="I186" s="14" t="s">
        <v>36</v>
      </c>
      <c r="J186" s="14"/>
    </row>
    <row r="187" spans="1:10" x14ac:dyDescent="0.3">
      <c r="A187" s="13"/>
      <c r="B187" s="14" t="str">
        <f t="shared" si="2"/>
        <v/>
      </c>
      <c r="C187" s="14"/>
      <c r="D187" s="14"/>
      <c r="E187" s="14"/>
      <c r="F187" s="16"/>
      <c r="G187" s="14" t="s">
        <v>42</v>
      </c>
      <c r="H187" s="14" t="s">
        <v>43</v>
      </c>
      <c r="I187" s="14" t="s">
        <v>36</v>
      </c>
      <c r="J187" s="14"/>
    </row>
    <row r="188" spans="1:10" x14ac:dyDescent="0.3">
      <c r="A188" s="13"/>
      <c r="B188" s="14" t="str">
        <f t="shared" si="2"/>
        <v/>
      </c>
      <c r="C188" s="14"/>
      <c r="D188" s="14"/>
      <c r="E188" s="14"/>
      <c r="F188" s="16"/>
      <c r="G188" s="14" t="s">
        <v>42</v>
      </c>
      <c r="H188" s="14" t="s">
        <v>43</v>
      </c>
      <c r="I188" s="14" t="s">
        <v>36</v>
      </c>
      <c r="J188" s="14"/>
    </row>
    <row r="189" spans="1:10" x14ac:dyDescent="0.3">
      <c r="A189" s="13"/>
      <c r="B189" s="14" t="str">
        <f t="shared" si="2"/>
        <v/>
      </c>
      <c r="C189" s="14"/>
      <c r="D189" s="14"/>
      <c r="E189" s="14"/>
      <c r="F189" s="16"/>
      <c r="G189" s="14" t="s">
        <v>42</v>
      </c>
      <c r="H189" s="14" t="s">
        <v>43</v>
      </c>
      <c r="I189" s="14" t="s">
        <v>36</v>
      </c>
      <c r="J189" s="14"/>
    </row>
    <row r="190" spans="1:10" x14ac:dyDescent="0.3">
      <c r="A190" s="13"/>
      <c r="B190" s="14" t="str">
        <f t="shared" si="2"/>
        <v/>
      </c>
      <c r="C190" s="14"/>
      <c r="D190" s="14"/>
      <c r="E190" s="14"/>
      <c r="F190" s="16"/>
      <c r="G190" s="14" t="s">
        <v>42</v>
      </c>
      <c r="H190" s="14" t="s">
        <v>43</v>
      </c>
      <c r="I190" s="14" t="s">
        <v>36</v>
      </c>
      <c r="J190" s="14"/>
    </row>
    <row r="191" spans="1:10" x14ac:dyDescent="0.3">
      <c r="A191" s="13"/>
      <c r="B191" s="14" t="str">
        <f t="shared" si="2"/>
        <v/>
      </c>
      <c r="C191" s="14"/>
      <c r="D191" s="14"/>
      <c r="E191" s="14"/>
      <c r="F191" s="16"/>
      <c r="G191" s="14" t="s">
        <v>42</v>
      </c>
      <c r="H191" s="14" t="s">
        <v>43</v>
      </c>
      <c r="I191" s="14" t="s">
        <v>36</v>
      </c>
      <c r="J191" s="14"/>
    </row>
    <row r="192" spans="1:10" x14ac:dyDescent="0.3">
      <c r="A192" s="13"/>
      <c r="B192" s="14" t="str">
        <f t="shared" si="2"/>
        <v/>
      </c>
      <c r="C192" s="14"/>
      <c r="D192" s="14"/>
      <c r="E192" s="14"/>
      <c r="F192" s="16"/>
      <c r="G192" s="14" t="s">
        <v>42</v>
      </c>
      <c r="H192" s="14" t="s">
        <v>43</v>
      </c>
      <c r="I192" s="14" t="s">
        <v>36</v>
      </c>
      <c r="J192" s="14"/>
    </row>
    <row r="193" spans="1:10" x14ac:dyDescent="0.3">
      <c r="A193" s="13"/>
      <c r="B193" s="14" t="str">
        <f t="shared" si="2"/>
        <v/>
      </c>
      <c r="C193" s="14"/>
      <c r="D193" s="14"/>
      <c r="E193" s="14"/>
      <c r="F193" s="16"/>
      <c r="G193" s="14" t="s">
        <v>42</v>
      </c>
      <c r="H193" s="14" t="s">
        <v>43</v>
      </c>
      <c r="I193" s="14" t="s">
        <v>36</v>
      </c>
      <c r="J193" s="14"/>
    </row>
    <row r="194" spans="1:10" x14ac:dyDescent="0.3">
      <c r="A194" s="13"/>
      <c r="B194" s="14" t="str">
        <f t="shared" ref="B194:B257" si="3">IF(A194="","", "G"&amp;TEXT(A194,"yymmdd")&amp;"-"&amp;TEXT(ROW()-1,"0000"))</f>
        <v/>
      </c>
      <c r="C194" s="14"/>
      <c r="D194" s="14"/>
      <c r="E194" s="14"/>
      <c r="F194" s="16"/>
      <c r="G194" s="14" t="s">
        <v>42</v>
      </c>
      <c r="H194" s="14" t="s">
        <v>43</v>
      </c>
      <c r="I194" s="14" t="s">
        <v>36</v>
      </c>
      <c r="J194" s="14"/>
    </row>
    <row r="195" spans="1:10" x14ac:dyDescent="0.3">
      <c r="A195" s="13"/>
      <c r="B195" s="14" t="str">
        <f t="shared" si="3"/>
        <v/>
      </c>
      <c r="C195" s="14"/>
      <c r="D195" s="14"/>
      <c r="E195" s="14"/>
      <c r="F195" s="16"/>
      <c r="G195" s="14" t="s">
        <v>42</v>
      </c>
      <c r="H195" s="14" t="s">
        <v>43</v>
      </c>
      <c r="I195" s="14" t="s">
        <v>36</v>
      </c>
      <c r="J195" s="14"/>
    </row>
    <row r="196" spans="1:10" x14ac:dyDescent="0.3">
      <c r="A196" s="13"/>
      <c r="B196" s="14" t="str">
        <f t="shared" si="3"/>
        <v/>
      </c>
      <c r="C196" s="14"/>
      <c r="D196" s="14"/>
      <c r="E196" s="14"/>
      <c r="F196" s="16"/>
      <c r="G196" s="14" t="s">
        <v>42</v>
      </c>
      <c r="H196" s="14" t="s">
        <v>43</v>
      </c>
      <c r="I196" s="14" t="s">
        <v>36</v>
      </c>
      <c r="J196" s="14"/>
    </row>
    <row r="197" spans="1:10" x14ac:dyDescent="0.3">
      <c r="A197" s="13"/>
      <c r="B197" s="14" t="str">
        <f t="shared" si="3"/>
        <v/>
      </c>
      <c r="C197" s="14"/>
      <c r="D197" s="14"/>
      <c r="E197" s="14"/>
      <c r="F197" s="16"/>
      <c r="G197" s="14" t="s">
        <v>42</v>
      </c>
      <c r="H197" s="14" t="s">
        <v>43</v>
      </c>
      <c r="I197" s="14" t="s">
        <v>36</v>
      </c>
      <c r="J197" s="14"/>
    </row>
    <row r="198" spans="1:10" x14ac:dyDescent="0.3">
      <c r="A198" s="13"/>
      <c r="B198" s="14" t="str">
        <f t="shared" si="3"/>
        <v/>
      </c>
      <c r="C198" s="14"/>
      <c r="D198" s="14"/>
      <c r="E198" s="14"/>
      <c r="F198" s="16"/>
      <c r="G198" s="14" t="s">
        <v>42</v>
      </c>
      <c r="H198" s="14" t="s">
        <v>43</v>
      </c>
      <c r="I198" s="14" t="s">
        <v>36</v>
      </c>
      <c r="J198" s="14"/>
    </row>
    <row r="199" spans="1:10" x14ac:dyDescent="0.3">
      <c r="A199" s="13"/>
      <c r="B199" s="14" t="str">
        <f t="shared" si="3"/>
        <v/>
      </c>
      <c r="C199" s="14"/>
      <c r="D199" s="14"/>
      <c r="E199" s="14"/>
      <c r="F199" s="16"/>
      <c r="G199" s="14" t="s">
        <v>42</v>
      </c>
      <c r="H199" s="14" t="s">
        <v>43</v>
      </c>
      <c r="I199" s="14" t="s">
        <v>36</v>
      </c>
      <c r="J199" s="14"/>
    </row>
    <row r="200" spans="1:10" x14ac:dyDescent="0.3">
      <c r="A200" s="13"/>
      <c r="B200" s="14" t="str">
        <f t="shared" si="3"/>
        <v/>
      </c>
      <c r="C200" s="14"/>
      <c r="D200" s="14"/>
      <c r="E200" s="14"/>
      <c r="F200" s="16"/>
      <c r="G200" s="14" t="s">
        <v>42</v>
      </c>
      <c r="H200" s="14" t="s">
        <v>43</v>
      </c>
      <c r="I200" s="14" t="s">
        <v>36</v>
      </c>
      <c r="J200" s="14"/>
    </row>
    <row r="201" spans="1:10" x14ac:dyDescent="0.3">
      <c r="A201" s="13"/>
      <c r="B201" s="14" t="str">
        <f t="shared" si="3"/>
        <v/>
      </c>
      <c r="C201" s="14"/>
      <c r="D201" s="14"/>
      <c r="E201" s="14"/>
      <c r="F201" s="16"/>
      <c r="G201" s="14" t="s">
        <v>42</v>
      </c>
      <c r="H201" s="14" t="s">
        <v>43</v>
      </c>
      <c r="I201" s="14" t="s">
        <v>36</v>
      </c>
      <c r="J201" s="14"/>
    </row>
    <row r="202" spans="1:10" x14ac:dyDescent="0.3">
      <c r="A202" s="13"/>
      <c r="B202" s="14" t="str">
        <f t="shared" si="3"/>
        <v/>
      </c>
      <c r="C202" s="14"/>
      <c r="D202" s="14"/>
      <c r="E202" s="14"/>
      <c r="F202" s="16"/>
      <c r="G202" s="14" t="s">
        <v>42</v>
      </c>
      <c r="H202" s="14" t="s">
        <v>43</v>
      </c>
      <c r="I202" s="14" t="s">
        <v>36</v>
      </c>
      <c r="J202" s="14"/>
    </row>
    <row r="203" spans="1:10" x14ac:dyDescent="0.3">
      <c r="A203" s="13"/>
      <c r="B203" s="14" t="str">
        <f t="shared" si="3"/>
        <v/>
      </c>
      <c r="C203" s="14"/>
      <c r="D203" s="14"/>
      <c r="E203" s="14"/>
      <c r="F203" s="16"/>
      <c r="G203" s="14" t="s">
        <v>42</v>
      </c>
      <c r="H203" s="14" t="s">
        <v>43</v>
      </c>
      <c r="I203" s="14" t="s">
        <v>36</v>
      </c>
      <c r="J203" s="14"/>
    </row>
    <row r="204" spans="1:10" x14ac:dyDescent="0.3">
      <c r="A204" s="13"/>
      <c r="B204" s="14" t="str">
        <f t="shared" si="3"/>
        <v/>
      </c>
      <c r="C204" s="14"/>
      <c r="D204" s="14"/>
      <c r="E204" s="14"/>
      <c r="F204" s="16"/>
      <c r="G204" s="14" t="s">
        <v>42</v>
      </c>
      <c r="H204" s="14" t="s">
        <v>43</v>
      </c>
      <c r="I204" s="14" t="s">
        <v>36</v>
      </c>
      <c r="J204" s="14"/>
    </row>
    <row r="205" spans="1:10" x14ac:dyDescent="0.3">
      <c r="A205" s="13"/>
      <c r="B205" s="14" t="str">
        <f t="shared" si="3"/>
        <v/>
      </c>
      <c r="C205" s="14"/>
      <c r="D205" s="14"/>
      <c r="E205" s="14"/>
      <c r="F205" s="16"/>
      <c r="G205" s="14" t="s">
        <v>42</v>
      </c>
      <c r="H205" s="14" t="s">
        <v>43</v>
      </c>
      <c r="I205" s="14" t="s">
        <v>36</v>
      </c>
      <c r="J205" s="14"/>
    </row>
    <row r="206" spans="1:10" x14ac:dyDescent="0.3">
      <c r="A206" s="13"/>
      <c r="B206" s="14" t="str">
        <f t="shared" si="3"/>
        <v/>
      </c>
      <c r="C206" s="14"/>
      <c r="D206" s="14"/>
      <c r="E206" s="14"/>
      <c r="F206" s="16"/>
      <c r="G206" s="14" t="s">
        <v>42</v>
      </c>
      <c r="H206" s="14" t="s">
        <v>43</v>
      </c>
      <c r="I206" s="14" t="s">
        <v>36</v>
      </c>
      <c r="J206" s="14"/>
    </row>
    <row r="207" spans="1:10" x14ac:dyDescent="0.3">
      <c r="A207" s="13"/>
      <c r="B207" s="14" t="str">
        <f t="shared" si="3"/>
        <v/>
      </c>
      <c r="C207" s="14"/>
      <c r="D207" s="14"/>
      <c r="E207" s="14"/>
      <c r="F207" s="16"/>
      <c r="G207" s="14" t="s">
        <v>42</v>
      </c>
      <c r="H207" s="14" t="s">
        <v>43</v>
      </c>
      <c r="I207" s="14" t="s">
        <v>36</v>
      </c>
      <c r="J207" s="14"/>
    </row>
    <row r="208" spans="1:10" x14ac:dyDescent="0.3">
      <c r="A208" s="13"/>
      <c r="B208" s="14" t="str">
        <f t="shared" si="3"/>
        <v/>
      </c>
      <c r="C208" s="14"/>
      <c r="D208" s="14"/>
      <c r="E208" s="14"/>
      <c r="F208" s="16"/>
      <c r="G208" s="14" t="s">
        <v>42</v>
      </c>
      <c r="H208" s="14" t="s">
        <v>43</v>
      </c>
      <c r="I208" s="14" t="s">
        <v>36</v>
      </c>
      <c r="J208" s="14"/>
    </row>
    <row r="209" spans="1:10" x14ac:dyDescent="0.3">
      <c r="A209" s="13"/>
      <c r="B209" s="14" t="str">
        <f t="shared" si="3"/>
        <v/>
      </c>
      <c r="C209" s="14"/>
      <c r="D209" s="14"/>
      <c r="E209" s="14"/>
      <c r="F209" s="16"/>
      <c r="G209" s="14" t="s">
        <v>42</v>
      </c>
      <c r="H209" s="14" t="s">
        <v>43</v>
      </c>
      <c r="I209" s="14" t="s">
        <v>36</v>
      </c>
      <c r="J209" s="14"/>
    </row>
    <row r="210" spans="1:10" x14ac:dyDescent="0.3">
      <c r="A210" s="13"/>
      <c r="B210" s="14" t="str">
        <f t="shared" si="3"/>
        <v/>
      </c>
      <c r="C210" s="14"/>
      <c r="D210" s="14"/>
      <c r="E210" s="14"/>
      <c r="F210" s="16"/>
      <c r="G210" s="14" t="s">
        <v>42</v>
      </c>
      <c r="H210" s="14" t="s">
        <v>43</v>
      </c>
      <c r="I210" s="14" t="s">
        <v>36</v>
      </c>
      <c r="J210" s="14"/>
    </row>
    <row r="211" spans="1:10" x14ac:dyDescent="0.3">
      <c r="A211" s="13"/>
      <c r="B211" s="14" t="str">
        <f t="shared" si="3"/>
        <v/>
      </c>
      <c r="C211" s="14"/>
      <c r="D211" s="14"/>
      <c r="E211" s="14"/>
      <c r="F211" s="16"/>
      <c r="G211" s="14" t="s">
        <v>42</v>
      </c>
      <c r="H211" s="14" t="s">
        <v>43</v>
      </c>
      <c r="I211" s="14" t="s">
        <v>36</v>
      </c>
      <c r="J211" s="14"/>
    </row>
    <row r="212" spans="1:10" x14ac:dyDescent="0.3">
      <c r="A212" s="13"/>
      <c r="B212" s="14" t="str">
        <f t="shared" si="3"/>
        <v/>
      </c>
      <c r="C212" s="14"/>
      <c r="D212" s="14"/>
      <c r="E212" s="14"/>
      <c r="F212" s="16"/>
      <c r="G212" s="14" t="s">
        <v>42</v>
      </c>
      <c r="H212" s="14" t="s">
        <v>43</v>
      </c>
      <c r="I212" s="14" t="s">
        <v>36</v>
      </c>
      <c r="J212" s="14"/>
    </row>
    <row r="213" spans="1:10" x14ac:dyDescent="0.3">
      <c r="A213" s="13"/>
      <c r="B213" s="14" t="str">
        <f t="shared" si="3"/>
        <v/>
      </c>
      <c r="C213" s="14"/>
      <c r="D213" s="14"/>
      <c r="E213" s="14"/>
      <c r="F213" s="16"/>
      <c r="G213" s="14" t="s">
        <v>42</v>
      </c>
      <c r="H213" s="14" t="s">
        <v>43</v>
      </c>
      <c r="I213" s="14" t="s">
        <v>36</v>
      </c>
      <c r="J213" s="14"/>
    </row>
    <row r="214" spans="1:10" x14ac:dyDescent="0.3">
      <c r="A214" s="13"/>
      <c r="B214" s="14" t="str">
        <f t="shared" si="3"/>
        <v/>
      </c>
      <c r="C214" s="14"/>
      <c r="D214" s="14"/>
      <c r="E214" s="14"/>
      <c r="F214" s="16"/>
      <c r="G214" s="14" t="s">
        <v>42</v>
      </c>
      <c r="H214" s="14" t="s">
        <v>43</v>
      </c>
      <c r="I214" s="14" t="s">
        <v>36</v>
      </c>
      <c r="J214" s="14"/>
    </row>
    <row r="215" spans="1:10" x14ac:dyDescent="0.3">
      <c r="A215" s="13"/>
      <c r="B215" s="14" t="str">
        <f t="shared" si="3"/>
        <v/>
      </c>
      <c r="C215" s="14"/>
      <c r="D215" s="14"/>
      <c r="E215" s="14"/>
      <c r="F215" s="16"/>
      <c r="G215" s="14" t="s">
        <v>42</v>
      </c>
      <c r="H215" s="14" t="s">
        <v>43</v>
      </c>
      <c r="I215" s="14" t="s">
        <v>36</v>
      </c>
      <c r="J215" s="14"/>
    </row>
    <row r="216" spans="1:10" x14ac:dyDescent="0.3">
      <c r="A216" s="13"/>
      <c r="B216" s="14" t="str">
        <f t="shared" si="3"/>
        <v/>
      </c>
      <c r="C216" s="14"/>
      <c r="D216" s="14"/>
      <c r="E216" s="14"/>
      <c r="F216" s="16"/>
      <c r="G216" s="14" t="s">
        <v>42</v>
      </c>
      <c r="H216" s="14" t="s">
        <v>43</v>
      </c>
      <c r="I216" s="14" t="s">
        <v>36</v>
      </c>
      <c r="J216" s="14"/>
    </row>
    <row r="217" spans="1:10" x14ac:dyDescent="0.3">
      <c r="A217" s="13"/>
      <c r="B217" s="14" t="str">
        <f t="shared" si="3"/>
        <v/>
      </c>
      <c r="C217" s="14"/>
      <c r="D217" s="14"/>
      <c r="E217" s="14"/>
      <c r="F217" s="16"/>
      <c r="G217" s="14" t="s">
        <v>42</v>
      </c>
      <c r="H217" s="14" t="s">
        <v>43</v>
      </c>
      <c r="I217" s="14" t="s">
        <v>36</v>
      </c>
      <c r="J217" s="14"/>
    </row>
    <row r="218" spans="1:10" x14ac:dyDescent="0.3">
      <c r="A218" s="13"/>
      <c r="B218" s="14" t="str">
        <f t="shared" si="3"/>
        <v/>
      </c>
      <c r="C218" s="14"/>
      <c r="D218" s="14"/>
      <c r="E218" s="14"/>
      <c r="F218" s="16"/>
      <c r="G218" s="14" t="s">
        <v>42</v>
      </c>
      <c r="H218" s="14" t="s">
        <v>43</v>
      </c>
      <c r="I218" s="14" t="s">
        <v>36</v>
      </c>
      <c r="J218" s="14"/>
    </row>
    <row r="219" spans="1:10" x14ac:dyDescent="0.3">
      <c r="A219" s="13"/>
      <c r="B219" s="14" t="str">
        <f t="shared" si="3"/>
        <v/>
      </c>
      <c r="C219" s="14"/>
      <c r="D219" s="14"/>
      <c r="E219" s="14"/>
      <c r="F219" s="16"/>
      <c r="G219" s="14" t="s">
        <v>42</v>
      </c>
      <c r="H219" s="14" t="s">
        <v>43</v>
      </c>
      <c r="I219" s="14" t="s">
        <v>36</v>
      </c>
      <c r="J219" s="14"/>
    </row>
    <row r="220" spans="1:10" x14ac:dyDescent="0.3">
      <c r="A220" s="13"/>
      <c r="B220" s="14" t="str">
        <f t="shared" si="3"/>
        <v/>
      </c>
      <c r="C220" s="14"/>
      <c r="D220" s="14"/>
      <c r="E220" s="14"/>
      <c r="F220" s="16"/>
      <c r="G220" s="14" t="s">
        <v>42</v>
      </c>
      <c r="H220" s="14" t="s">
        <v>43</v>
      </c>
      <c r="I220" s="14" t="s">
        <v>36</v>
      </c>
      <c r="J220" s="14"/>
    </row>
    <row r="221" spans="1:10" x14ac:dyDescent="0.3">
      <c r="A221" s="13"/>
      <c r="B221" s="14" t="str">
        <f t="shared" si="3"/>
        <v/>
      </c>
      <c r="C221" s="14"/>
      <c r="D221" s="14"/>
      <c r="E221" s="14"/>
      <c r="F221" s="16"/>
      <c r="G221" s="14" t="s">
        <v>42</v>
      </c>
      <c r="H221" s="14" t="s">
        <v>43</v>
      </c>
      <c r="I221" s="14" t="s">
        <v>36</v>
      </c>
      <c r="J221" s="14"/>
    </row>
    <row r="222" spans="1:10" x14ac:dyDescent="0.3">
      <c r="A222" s="13"/>
      <c r="B222" s="14" t="str">
        <f t="shared" si="3"/>
        <v/>
      </c>
      <c r="C222" s="14"/>
      <c r="D222" s="14"/>
      <c r="E222" s="14"/>
      <c r="F222" s="16"/>
      <c r="G222" s="14" t="s">
        <v>42</v>
      </c>
      <c r="H222" s="14" t="s">
        <v>43</v>
      </c>
      <c r="I222" s="14" t="s">
        <v>36</v>
      </c>
      <c r="J222" s="14"/>
    </row>
    <row r="223" spans="1:10" x14ac:dyDescent="0.3">
      <c r="A223" s="13"/>
      <c r="B223" s="14" t="str">
        <f t="shared" si="3"/>
        <v/>
      </c>
      <c r="C223" s="14"/>
      <c r="D223" s="14"/>
      <c r="E223" s="14"/>
      <c r="F223" s="16"/>
      <c r="G223" s="14" t="s">
        <v>42</v>
      </c>
      <c r="H223" s="14" t="s">
        <v>43</v>
      </c>
      <c r="I223" s="14" t="s">
        <v>36</v>
      </c>
      <c r="J223" s="14"/>
    </row>
    <row r="224" spans="1:10" x14ac:dyDescent="0.3">
      <c r="A224" s="13"/>
      <c r="B224" s="14" t="str">
        <f t="shared" si="3"/>
        <v/>
      </c>
      <c r="C224" s="14"/>
      <c r="D224" s="14"/>
      <c r="E224" s="14"/>
      <c r="F224" s="16"/>
      <c r="G224" s="14" t="s">
        <v>42</v>
      </c>
      <c r="H224" s="14" t="s">
        <v>43</v>
      </c>
      <c r="I224" s="14" t="s">
        <v>36</v>
      </c>
      <c r="J224" s="14"/>
    </row>
    <row r="225" spans="1:10" x14ac:dyDescent="0.3">
      <c r="A225" s="13"/>
      <c r="B225" s="14" t="str">
        <f t="shared" si="3"/>
        <v/>
      </c>
      <c r="C225" s="14"/>
      <c r="D225" s="14"/>
      <c r="E225" s="14"/>
      <c r="F225" s="16"/>
      <c r="G225" s="14" t="s">
        <v>42</v>
      </c>
      <c r="H225" s="14" t="s">
        <v>43</v>
      </c>
      <c r="I225" s="14" t="s">
        <v>36</v>
      </c>
      <c r="J225" s="14"/>
    </row>
    <row r="226" spans="1:10" x14ac:dyDescent="0.3">
      <c r="A226" s="13"/>
      <c r="B226" s="14" t="str">
        <f t="shared" si="3"/>
        <v/>
      </c>
      <c r="C226" s="14"/>
      <c r="D226" s="14"/>
      <c r="E226" s="14"/>
      <c r="F226" s="16"/>
      <c r="G226" s="14" t="s">
        <v>42</v>
      </c>
      <c r="H226" s="14" t="s">
        <v>43</v>
      </c>
      <c r="I226" s="14" t="s">
        <v>36</v>
      </c>
      <c r="J226" s="14"/>
    </row>
    <row r="227" spans="1:10" x14ac:dyDescent="0.3">
      <c r="A227" s="13"/>
      <c r="B227" s="14" t="str">
        <f t="shared" si="3"/>
        <v/>
      </c>
      <c r="C227" s="14"/>
      <c r="D227" s="14"/>
      <c r="E227" s="14"/>
      <c r="F227" s="16"/>
      <c r="G227" s="14" t="s">
        <v>42</v>
      </c>
      <c r="H227" s="14" t="s">
        <v>43</v>
      </c>
      <c r="I227" s="14" t="s">
        <v>36</v>
      </c>
      <c r="J227" s="14"/>
    </row>
    <row r="228" spans="1:10" x14ac:dyDescent="0.3">
      <c r="A228" s="13"/>
      <c r="B228" s="14" t="str">
        <f t="shared" si="3"/>
        <v/>
      </c>
      <c r="C228" s="14"/>
      <c r="D228" s="14"/>
      <c r="E228" s="14"/>
      <c r="F228" s="16"/>
      <c r="G228" s="14" t="s">
        <v>42</v>
      </c>
      <c r="H228" s="14" t="s">
        <v>43</v>
      </c>
      <c r="I228" s="14" t="s">
        <v>36</v>
      </c>
      <c r="J228" s="14"/>
    </row>
    <row r="229" spans="1:10" x14ac:dyDescent="0.3">
      <c r="A229" s="13"/>
      <c r="B229" s="14" t="str">
        <f t="shared" si="3"/>
        <v/>
      </c>
      <c r="C229" s="14"/>
      <c r="D229" s="14"/>
      <c r="E229" s="14"/>
      <c r="F229" s="16"/>
      <c r="G229" s="14" t="s">
        <v>42</v>
      </c>
      <c r="H229" s="14" t="s">
        <v>43</v>
      </c>
      <c r="I229" s="14" t="s">
        <v>36</v>
      </c>
      <c r="J229" s="14"/>
    </row>
    <row r="230" spans="1:10" x14ac:dyDescent="0.3">
      <c r="A230" s="13"/>
      <c r="B230" s="14" t="str">
        <f t="shared" si="3"/>
        <v/>
      </c>
      <c r="C230" s="14"/>
      <c r="D230" s="14"/>
      <c r="E230" s="14"/>
      <c r="F230" s="16"/>
      <c r="G230" s="14" t="s">
        <v>42</v>
      </c>
      <c r="H230" s="14" t="s">
        <v>43</v>
      </c>
      <c r="I230" s="14" t="s">
        <v>36</v>
      </c>
      <c r="J230" s="14"/>
    </row>
    <row r="231" spans="1:10" x14ac:dyDescent="0.3">
      <c r="A231" s="13"/>
      <c r="B231" s="14" t="str">
        <f t="shared" si="3"/>
        <v/>
      </c>
      <c r="C231" s="14"/>
      <c r="D231" s="14"/>
      <c r="E231" s="14"/>
      <c r="F231" s="16"/>
      <c r="G231" s="14" t="s">
        <v>42</v>
      </c>
      <c r="H231" s="14" t="s">
        <v>43</v>
      </c>
      <c r="I231" s="14" t="s">
        <v>36</v>
      </c>
      <c r="J231" s="14"/>
    </row>
    <row r="232" spans="1:10" x14ac:dyDescent="0.3">
      <c r="A232" s="13"/>
      <c r="B232" s="14" t="str">
        <f t="shared" si="3"/>
        <v/>
      </c>
      <c r="C232" s="14"/>
      <c r="D232" s="14"/>
      <c r="E232" s="14"/>
      <c r="F232" s="16"/>
      <c r="G232" s="14" t="s">
        <v>42</v>
      </c>
      <c r="H232" s="14" t="s">
        <v>43</v>
      </c>
      <c r="I232" s="14" t="s">
        <v>36</v>
      </c>
      <c r="J232" s="14"/>
    </row>
    <row r="233" spans="1:10" x14ac:dyDescent="0.3">
      <c r="A233" s="13"/>
      <c r="B233" s="14" t="str">
        <f t="shared" si="3"/>
        <v/>
      </c>
      <c r="C233" s="14"/>
      <c r="D233" s="14"/>
      <c r="E233" s="14"/>
      <c r="F233" s="16"/>
      <c r="G233" s="14" t="s">
        <v>42</v>
      </c>
      <c r="H233" s="14" t="s">
        <v>43</v>
      </c>
      <c r="I233" s="14" t="s">
        <v>36</v>
      </c>
      <c r="J233" s="14"/>
    </row>
    <row r="234" spans="1:10" x14ac:dyDescent="0.3">
      <c r="A234" s="13"/>
      <c r="B234" s="14" t="str">
        <f t="shared" si="3"/>
        <v/>
      </c>
      <c r="C234" s="14"/>
      <c r="D234" s="14"/>
      <c r="E234" s="14"/>
      <c r="F234" s="16"/>
      <c r="G234" s="14" t="s">
        <v>42</v>
      </c>
      <c r="H234" s="14" t="s">
        <v>43</v>
      </c>
      <c r="I234" s="14" t="s">
        <v>36</v>
      </c>
      <c r="J234" s="14"/>
    </row>
    <row r="235" spans="1:10" x14ac:dyDescent="0.3">
      <c r="A235" s="13"/>
      <c r="B235" s="14" t="str">
        <f t="shared" si="3"/>
        <v/>
      </c>
      <c r="C235" s="14"/>
      <c r="D235" s="14"/>
      <c r="E235" s="14"/>
      <c r="F235" s="16"/>
      <c r="G235" s="14" t="s">
        <v>42</v>
      </c>
      <c r="H235" s="14" t="s">
        <v>43</v>
      </c>
      <c r="I235" s="14" t="s">
        <v>36</v>
      </c>
      <c r="J235" s="14"/>
    </row>
    <row r="236" spans="1:10" x14ac:dyDescent="0.3">
      <c r="A236" s="13"/>
      <c r="B236" s="14" t="str">
        <f t="shared" si="3"/>
        <v/>
      </c>
      <c r="C236" s="14"/>
      <c r="D236" s="14"/>
      <c r="E236" s="14"/>
      <c r="F236" s="16"/>
      <c r="G236" s="14" t="s">
        <v>42</v>
      </c>
      <c r="H236" s="14" t="s">
        <v>43</v>
      </c>
      <c r="I236" s="14" t="s">
        <v>36</v>
      </c>
      <c r="J236" s="14"/>
    </row>
    <row r="237" spans="1:10" x14ac:dyDescent="0.3">
      <c r="A237" s="13"/>
      <c r="B237" s="14" t="str">
        <f t="shared" si="3"/>
        <v/>
      </c>
      <c r="C237" s="14"/>
      <c r="D237" s="14"/>
      <c r="E237" s="14"/>
      <c r="F237" s="16"/>
      <c r="G237" s="14" t="s">
        <v>42</v>
      </c>
      <c r="H237" s="14" t="s">
        <v>43</v>
      </c>
      <c r="I237" s="14" t="s">
        <v>36</v>
      </c>
      <c r="J237" s="14"/>
    </row>
    <row r="238" spans="1:10" x14ac:dyDescent="0.3">
      <c r="A238" s="13"/>
      <c r="B238" s="14" t="str">
        <f t="shared" si="3"/>
        <v/>
      </c>
      <c r="C238" s="14"/>
      <c r="D238" s="14"/>
      <c r="E238" s="14"/>
      <c r="F238" s="16"/>
      <c r="G238" s="14" t="s">
        <v>42</v>
      </c>
      <c r="H238" s="14" t="s">
        <v>43</v>
      </c>
      <c r="I238" s="14" t="s">
        <v>36</v>
      </c>
      <c r="J238" s="14"/>
    </row>
    <row r="239" spans="1:10" x14ac:dyDescent="0.3">
      <c r="A239" s="13"/>
      <c r="B239" s="14" t="str">
        <f t="shared" si="3"/>
        <v/>
      </c>
      <c r="C239" s="14"/>
      <c r="D239" s="14"/>
      <c r="E239" s="14"/>
      <c r="F239" s="16"/>
      <c r="G239" s="14" t="s">
        <v>42</v>
      </c>
      <c r="H239" s="14" t="s">
        <v>43</v>
      </c>
      <c r="I239" s="14" t="s">
        <v>36</v>
      </c>
      <c r="J239" s="14"/>
    </row>
    <row r="240" spans="1:10" x14ac:dyDescent="0.3">
      <c r="A240" s="13"/>
      <c r="B240" s="14" t="str">
        <f t="shared" si="3"/>
        <v/>
      </c>
      <c r="C240" s="14"/>
      <c r="D240" s="14"/>
      <c r="E240" s="14"/>
      <c r="F240" s="16"/>
      <c r="G240" s="14" t="s">
        <v>42</v>
      </c>
      <c r="H240" s="14" t="s">
        <v>43</v>
      </c>
      <c r="I240" s="14" t="s">
        <v>36</v>
      </c>
      <c r="J240" s="14"/>
    </row>
    <row r="241" spans="1:10" x14ac:dyDescent="0.3">
      <c r="A241" s="13"/>
      <c r="B241" s="14" t="str">
        <f t="shared" si="3"/>
        <v/>
      </c>
      <c r="C241" s="14"/>
      <c r="D241" s="14"/>
      <c r="E241" s="14"/>
      <c r="F241" s="16"/>
      <c r="G241" s="14" t="s">
        <v>42</v>
      </c>
      <c r="H241" s="14" t="s">
        <v>43</v>
      </c>
      <c r="I241" s="14" t="s">
        <v>36</v>
      </c>
      <c r="J241" s="14"/>
    </row>
    <row r="242" spans="1:10" x14ac:dyDescent="0.3">
      <c r="A242" s="13"/>
      <c r="B242" s="14" t="str">
        <f t="shared" si="3"/>
        <v/>
      </c>
      <c r="C242" s="14"/>
      <c r="D242" s="14"/>
      <c r="E242" s="14"/>
      <c r="F242" s="16"/>
      <c r="G242" s="14" t="s">
        <v>42</v>
      </c>
      <c r="H242" s="14" t="s">
        <v>43</v>
      </c>
      <c r="I242" s="14" t="s">
        <v>36</v>
      </c>
      <c r="J242" s="14"/>
    </row>
    <row r="243" spans="1:10" x14ac:dyDescent="0.3">
      <c r="A243" s="13"/>
      <c r="B243" s="14" t="str">
        <f t="shared" si="3"/>
        <v/>
      </c>
      <c r="C243" s="14"/>
      <c r="D243" s="14"/>
      <c r="E243" s="14"/>
      <c r="F243" s="16"/>
      <c r="G243" s="14" t="s">
        <v>42</v>
      </c>
      <c r="H243" s="14" t="s">
        <v>43</v>
      </c>
      <c r="I243" s="14" t="s">
        <v>36</v>
      </c>
      <c r="J243" s="14"/>
    </row>
    <row r="244" spans="1:10" x14ac:dyDescent="0.3">
      <c r="A244" s="13"/>
      <c r="B244" s="14" t="str">
        <f t="shared" si="3"/>
        <v/>
      </c>
      <c r="C244" s="14"/>
      <c r="D244" s="14"/>
      <c r="E244" s="14"/>
      <c r="F244" s="16"/>
      <c r="G244" s="14" t="s">
        <v>42</v>
      </c>
      <c r="H244" s="14" t="s">
        <v>43</v>
      </c>
      <c r="I244" s="14" t="s">
        <v>36</v>
      </c>
      <c r="J244" s="14"/>
    </row>
    <row r="245" spans="1:10" x14ac:dyDescent="0.3">
      <c r="A245" s="13"/>
      <c r="B245" s="14" t="str">
        <f t="shared" si="3"/>
        <v/>
      </c>
      <c r="C245" s="14"/>
      <c r="D245" s="14"/>
      <c r="E245" s="14"/>
      <c r="F245" s="16"/>
      <c r="G245" s="14" t="s">
        <v>42</v>
      </c>
      <c r="H245" s="14" t="s">
        <v>43</v>
      </c>
      <c r="I245" s="14" t="s">
        <v>36</v>
      </c>
      <c r="J245" s="14"/>
    </row>
    <row r="246" spans="1:10" x14ac:dyDescent="0.3">
      <c r="A246" s="13"/>
      <c r="B246" s="14" t="str">
        <f t="shared" si="3"/>
        <v/>
      </c>
      <c r="C246" s="14"/>
      <c r="D246" s="14"/>
      <c r="E246" s="14"/>
      <c r="F246" s="16"/>
      <c r="G246" s="14" t="s">
        <v>42</v>
      </c>
      <c r="H246" s="14" t="s">
        <v>43</v>
      </c>
      <c r="I246" s="14" t="s">
        <v>36</v>
      </c>
      <c r="J246" s="14"/>
    </row>
    <row r="247" spans="1:10" x14ac:dyDescent="0.3">
      <c r="A247" s="13"/>
      <c r="B247" s="14" t="str">
        <f t="shared" si="3"/>
        <v/>
      </c>
      <c r="C247" s="14"/>
      <c r="D247" s="14"/>
      <c r="E247" s="14"/>
      <c r="F247" s="16"/>
      <c r="G247" s="14" t="s">
        <v>42</v>
      </c>
      <c r="H247" s="14" t="s">
        <v>43</v>
      </c>
      <c r="I247" s="14" t="s">
        <v>36</v>
      </c>
      <c r="J247" s="14"/>
    </row>
    <row r="248" spans="1:10" x14ac:dyDescent="0.3">
      <c r="A248" s="13"/>
      <c r="B248" s="14" t="str">
        <f t="shared" si="3"/>
        <v/>
      </c>
      <c r="C248" s="14"/>
      <c r="D248" s="14"/>
      <c r="E248" s="14"/>
      <c r="F248" s="16"/>
      <c r="G248" s="14" t="s">
        <v>42</v>
      </c>
      <c r="H248" s="14" t="s">
        <v>43</v>
      </c>
      <c r="I248" s="14" t="s">
        <v>36</v>
      </c>
      <c r="J248" s="14"/>
    </row>
    <row r="249" spans="1:10" x14ac:dyDescent="0.3">
      <c r="A249" s="13"/>
      <c r="B249" s="14" t="str">
        <f t="shared" si="3"/>
        <v/>
      </c>
      <c r="C249" s="14"/>
      <c r="D249" s="14"/>
      <c r="E249" s="14"/>
      <c r="F249" s="16"/>
      <c r="G249" s="14" t="s">
        <v>42</v>
      </c>
      <c r="H249" s="14" t="s">
        <v>43</v>
      </c>
      <c r="I249" s="14" t="s">
        <v>36</v>
      </c>
      <c r="J249" s="14"/>
    </row>
    <row r="250" spans="1:10" x14ac:dyDescent="0.3">
      <c r="A250" s="13"/>
      <c r="B250" s="14" t="str">
        <f t="shared" si="3"/>
        <v/>
      </c>
      <c r="C250" s="14"/>
      <c r="D250" s="14"/>
      <c r="E250" s="14"/>
      <c r="F250" s="16"/>
      <c r="G250" s="14" t="s">
        <v>42</v>
      </c>
      <c r="H250" s="14" t="s">
        <v>43</v>
      </c>
      <c r="I250" s="14" t="s">
        <v>36</v>
      </c>
      <c r="J250" s="14"/>
    </row>
    <row r="251" spans="1:10" x14ac:dyDescent="0.3">
      <c r="A251" s="13"/>
      <c r="B251" s="14" t="str">
        <f t="shared" si="3"/>
        <v/>
      </c>
      <c r="C251" s="14"/>
      <c r="D251" s="14"/>
      <c r="E251" s="14"/>
      <c r="F251" s="16"/>
      <c r="G251" s="14" t="s">
        <v>42</v>
      </c>
      <c r="H251" s="14" t="s">
        <v>43</v>
      </c>
      <c r="I251" s="14" t="s">
        <v>36</v>
      </c>
      <c r="J251" s="14"/>
    </row>
    <row r="252" spans="1:10" x14ac:dyDescent="0.3">
      <c r="A252" s="13"/>
      <c r="B252" s="14" t="str">
        <f t="shared" si="3"/>
        <v/>
      </c>
      <c r="C252" s="14"/>
      <c r="D252" s="14"/>
      <c r="E252" s="14"/>
      <c r="F252" s="16"/>
      <c r="G252" s="14" t="s">
        <v>42</v>
      </c>
      <c r="H252" s="14" t="s">
        <v>43</v>
      </c>
      <c r="I252" s="14" t="s">
        <v>36</v>
      </c>
      <c r="J252" s="14"/>
    </row>
    <row r="253" spans="1:10" x14ac:dyDescent="0.3">
      <c r="A253" s="13"/>
      <c r="B253" s="14" t="str">
        <f t="shared" si="3"/>
        <v/>
      </c>
      <c r="C253" s="14"/>
      <c r="D253" s="14"/>
      <c r="E253" s="14"/>
      <c r="F253" s="16"/>
      <c r="G253" s="14" t="s">
        <v>42</v>
      </c>
      <c r="H253" s="14" t="s">
        <v>43</v>
      </c>
      <c r="I253" s="14" t="s">
        <v>36</v>
      </c>
      <c r="J253" s="14"/>
    </row>
    <row r="254" spans="1:10" x14ac:dyDescent="0.3">
      <c r="A254" s="13"/>
      <c r="B254" s="14" t="str">
        <f t="shared" si="3"/>
        <v/>
      </c>
      <c r="C254" s="14"/>
      <c r="D254" s="14"/>
      <c r="E254" s="14"/>
      <c r="F254" s="16"/>
      <c r="G254" s="14" t="s">
        <v>42</v>
      </c>
      <c r="H254" s="14" t="s">
        <v>43</v>
      </c>
      <c r="I254" s="14" t="s">
        <v>36</v>
      </c>
      <c r="J254" s="14"/>
    </row>
    <row r="255" spans="1:10" x14ac:dyDescent="0.3">
      <c r="A255" s="13"/>
      <c r="B255" s="14" t="str">
        <f t="shared" si="3"/>
        <v/>
      </c>
      <c r="C255" s="14"/>
      <c r="D255" s="14"/>
      <c r="E255" s="14"/>
      <c r="F255" s="16"/>
      <c r="G255" s="14" t="s">
        <v>42</v>
      </c>
      <c r="H255" s="14" t="s">
        <v>43</v>
      </c>
      <c r="I255" s="14" t="s">
        <v>36</v>
      </c>
      <c r="J255" s="14"/>
    </row>
    <row r="256" spans="1:10" x14ac:dyDescent="0.3">
      <c r="A256" s="13"/>
      <c r="B256" s="14" t="str">
        <f t="shared" si="3"/>
        <v/>
      </c>
      <c r="C256" s="14"/>
      <c r="D256" s="14"/>
      <c r="E256" s="14"/>
      <c r="F256" s="16"/>
      <c r="G256" s="14" t="s">
        <v>42</v>
      </c>
      <c r="H256" s="14" t="s">
        <v>43</v>
      </c>
      <c r="I256" s="14" t="s">
        <v>36</v>
      </c>
      <c r="J256" s="14"/>
    </row>
    <row r="257" spans="1:10" x14ac:dyDescent="0.3">
      <c r="A257" s="13"/>
      <c r="B257" s="14" t="str">
        <f t="shared" si="3"/>
        <v/>
      </c>
      <c r="C257" s="14"/>
      <c r="D257" s="14"/>
      <c r="E257" s="14"/>
      <c r="F257" s="16"/>
      <c r="G257" s="14" t="s">
        <v>42</v>
      </c>
      <c r="H257" s="14" t="s">
        <v>43</v>
      </c>
      <c r="I257" s="14" t="s">
        <v>36</v>
      </c>
      <c r="J257" s="14"/>
    </row>
    <row r="258" spans="1:10" x14ac:dyDescent="0.3">
      <c r="A258" s="13"/>
      <c r="B258" s="14" t="str">
        <f t="shared" ref="B258:B321" si="4">IF(A258="","", "G"&amp;TEXT(A258,"yymmdd")&amp;"-"&amp;TEXT(ROW()-1,"0000"))</f>
        <v/>
      </c>
      <c r="C258" s="14"/>
      <c r="D258" s="14"/>
      <c r="E258" s="14"/>
      <c r="F258" s="16"/>
      <c r="G258" s="14" t="s">
        <v>42</v>
      </c>
      <c r="H258" s="14" t="s">
        <v>43</v>
      </c>
      <c r="I258" s="14" t="s">
        <v>36</v>
      </c>
      <c r="J258" s="14"/>
    </row>
    <row r="259" spans="1:10" x14ac:dyDescent="0.3">
      <c r="A259" s="13"/>
      <c r="B259" s="14" t="str">
        <f t="shared" si="4"/>
        <v/>
      </c>
      <c r="C259" s="14"/>
      <c r="D259" s="14"/>
      <c r="E259" s="14"/>
      <c r="F259" s="16"/>
      <c r="G259" s="14" t="s">
        <v>42</v>
      </c>
      <c r="H259" s="14" t="s">
        <v>43</v>
      </c>
      <c r="I259" s="14" t="s">
        <v>36</v>
      </c>
      <c r="J259" s="14"/>
    </row>
    <row r="260" spans="1:10" x14ac:dyDescent="0.3">
      <c r="A260" s="13"/>
      <c r="B260" s="14" t="str">
        <f t="shared" si="4"/>
        <v/>
      </c>
      <c r="C260" s="14"/>
      <c r="D260" s="14"/>
      <c r="E260" s="14"/>
      <c r="F260" s="16"/>
      <c r="G260" s="14" t="s">
        <v>42</v>
      </c>
      <c r="H260" s="14" t="s">
        <v>43</v>
      </c>
      <c r="I260" s="14" t="s">
        <v>36</v>
      </c>
      <c r="J260" s="14"/>
    </row>
    <row r="261" spans="1:10" x14ac:dyDescent="0.3">
      <c r="A261" s="13"/>
      <c r="B261" s="14" t="str">
        <f t="shared" si="4"/>
        <v/>
      </c>
      <c r="C261" s="14"/>
      <c r="D261" s="14"/>
      <c r="E261" s="14"/>
      <c r="F261" s="16"/>
      <c r="G261" s="14" t="s">
        <v>42</v>
      </c>
      <c r="H261" s="14" t="s">
        <v>43</v>
      </c>
      <c r="I261" s="14" t="s">
        <v>36</v>
      </c>
      <c r="J261" s="14"/>
    </row>
    <row r="262" spans="1:10" x14ac:dyDescent="0.3">
      <c r="A262" s="13"/>
      <c r="B262" s="14" t="str">
        <f t="shared" si="4"/>
        <v/>
      </c>
      <c r="C262" s="14"/>
      <c r="D262" s="14"/>
      <c r="E262" s="14"/>
      <c r="F262" s="16"/>
      <c r="G262" s="14" t="s">
        <v>42</v>
      </c>
      <c r="H262" s="14" t="s">
        <v>43</v>
      </c>
      <c r="I262" s="14" t="s">
        <v>36</v>
      </c>
      <c r="J262" s="14"/>
    </row>
    <row r="263" spans="1:10" x14ac:dyDescent="0.3">
      <c r="A263" s="13"/>
      <c r="B263" s="14" t="str">
        <f t="shared" si="4"/>
        <v/>
      </c>
      <c r="C263" s="14"/>
      <c r="D263" s="14"/>
      <c r="E263" s="14"/>
      <c r="F263" s="16"/>
      <c r="G263" s="14" t="s">
        <v>42</v>
      </c>
      <c r="H263" s="14" t="s">
        <v>43</v>
      </c>
      <c r="I263" s="14" t="s">
        <v>36</v>
      </c>
      <c r="J263" s="14"/>
    </row>
    <row r="264" spans="1:10" x14ac:dyDescent="0.3">
      <c r="A264" s="13"/>
      <c r="B264" s="14" t="str">
        <f t="shared" si="4"/>
        <v/>
      </c>
      <c r="C264" s="14"/>
      <c r="D264" s="14"/>
      <c r="E264" s="14"/>
      <c r="F264" s="16"/>
      <c r="G264" s="14" t="s">
        <v>42</v>
      </c>
      <c r="H264" s="14" t="s">
        <v>43</v>
      </c>
      <c r="I264" s="14" t="s">
        <v>36</v>
      </c>
      <c r="J264" s="14"/>
    </row>
    <row r="265" spans="1:10" x14ac:dyDescent="0.3">
      <c r="A265" s="13"/>
      <c r="B265" s="14" t="str">
        <f t="shared" si="4"/>
        <v/>
      </c>
      <c r="C265" s="14"/>
      <c r="D265" s="14"/>
      <c r="E265" s="14"/>
      <c r="F265" s="16"/>
      <c r="G265" s="14" t="s">
        <v>42</v>
      </c>
      <c r="H265" s="14" t="s">
        <v>43</v>
      </c>
      <c r="I265" s="14" t="s">
        <v>36</v>
      </c>
      <c r="J265" s="14"/>
    </row>
    <row r="266" spans="1:10" x14ac:dyDescent="0.3">
      <c r="A266" s="13"/>
      <c r="B266" s="14" t="str">
        <f t="shared" si="4"/>
        <v/>
      </c>
      <c r="C266" s="14"/>
      <c r="D266" s="14"/>
      <c r="E266" s="14"/>
      <c r="F266" s="16"/>
      <c r="G266" s="14" t="s">
        <v>42</v>
      </c>
      <c r="H266" s="14" t="s">
        <v>43</v>
      </c>
      <c r="I266" s="14" t="s">
        <v>36</v>
      </c>
      <c r="J266" s="14"/>
    </row>
    <row r="267" spans="1:10" x14ac:dyDescent="0.3">
      <c r="A267" s="13"/>
      <c r="B267" s="14" t="str">
        <f t="shared" si="4"/>
        <v/>
      </c>
      <c r="C267" s="14"/>
      <c r="D267" s="14"/>
      <c r="E267" s="14"/>
      <c r="F267" s="16"/>
      <c r="G267" s="14" t="s">
        <v>42</v>
      </c>
      <c r="H267" s="14" t="s">
        <v>43</v>
      </c>
      <c r="I267" s="14" t="s">
        <v>36</v>
      </c>
      <c r="J267" s="14"/>
    </row>
    <row r="268" spans="1:10" x14ac:dyDescent="0.3">
      <c r="A268" s="13"/>
      <c r="B268" s="14" t="str">
        <f t="shared" si="4"/>
        <v/>
      </c>
      <c r="C268" s="14"/>
      <c r="D268" s="14"/>
      <c r="E268" s="14"/>
      <c r="F268" s="16"/>
      <c r="G268" s="14" t="s">
        <v>42</v>
      </c>
      <c r="H268" s="14" t="s">
        <v>43</v>
      </c>
      <c r="I268" s="14" t="s">
        <v>36</v>
      </c>
      <c r="J268" s="14"/>
    </row>
    <row r="269" spans="1:10" x14ac:dyDescent="0.3">
      <c r="A269" s="13"/>
      <c r="B269" s="14" t="str">
        <f t="shared" si="4"/>
        <v/>
      </c>
      <c r="C269" s="14"/>
      <c r="D269" s="14"/>
      <c r="E269" s="14"/>
      <c r="F269" s="16"/>
      <c r="G269" s="14" t="s">
        <v>42</v>
      </c>
      <c r="H269" s="14" t="s">
        <v>43</v>
      </c>
      <c r="I269" s="14" t="s">
        <v>36</v>
      </c>
      <c r="J269" s="14"/>
    </row>
    <row r="270" spans="1:10" x14ac:dyDescent="0.3">
      <c r="A270" s="13"/>
      <c r="B270" s="14" t="str">
        <f t="shared" si="4"/>
        <v/>
      </c>
      <c r="C270" s="14"/>
      <c r="D270" s="14"/>
      <c r="E270" s="14"/>
      <c r="F270" s="16"/>
      <c r="G270" s="14" t="s">
        <v>42</v>
      </c>
      <c r="H270" s="14" t="s">
        <v>43</v>
      </c>
      <c r="I270" s="14" t="s">
        <v>36</v>
      </c>
      <c r="J270" s="14"/>
    </row>
    <row r="271" spans="1:10" x14ac:dyDescent="0.3">
      <c r="A271" s="13"/>
      <c r="B271" s="14" t="str">
        <f t="shared" si="4"/>
        <v/>
      </c>
      <c r="C271" s="14"/>
      <c r="D271" s="14"/>
      <c r="E271" s="14"/>
      <c r="F271" s="16"/>
      <c r="G271" s="14" t="s">
        <v>42</v>
      </c>
      <c r="H271" s="14" t="s">
        <v>43</v>
      </c>
      <c r="I271" s="14" t="s">
        <v>36</v>
      </c>
      <c r="J271" s="14"/>
    </row>
    <row r="272" spans="1:10" x14ac:dyDescent="0.3">
      <c r="A272" s="13"/>
      <c r="B272" s="14" t="str">
        <f t="shared" si="4"/>
        <v/>
      </c>
      <c r="C272" s="14"/>
      <c r="D272" s="14"/>
      <c r="E272" s="14"/>
      <c r="F272" s="16"/>
      <c r="G272" s="14" t="s">
        <v>42</v>
      </c>
      <c r="H272" s="14" t="s">
        <v>43</v>
      </c>
      <c r="I272" s="14" t="s">
        <v>36</v>
      </c>
      <c r="J272" s="14"/>
    </row>
    <row r="273" spans="1:10" x14ac:dyDescent="0.3">
      <c r="A273" s="13"/>
      <c r="B273" s="14" t="str">
        <f t="shared" si="4"/>
        <v/>
      </c>
      <c r="C273" s="14"/>
      <c r="D273" s="14"/>
      <c r="E273" s="14"/>
      <c r="F273" s="16"/>
      <c r="G273" s="14" t="s">
        <v>42</v>
      </c>
      <c r="H273" s="14" t="s">
        <v>43</v>
      </c>
      <c r="I273" s="14" t="s">
        <v>36</v>
      </c>
      <c r="J273" s="14"/>
    </row>
    <row r="274" spans="1:10" x14ac:dyDescent="0.3">
      <c r="A274" s="13"/>
      <c r="B274" s="14" t="str">
        <f t="shared" si="4"/>
        <v/>
      </c>
      <c r="C274" s="14"/>
      <c r="D274" s="14"/>
      <c r="E274" s="14"/>
      <c r="F274" s="16"/>
      <c r="G274" s="14" t="s">
        <v>42</v>
      </c>
      <c r="H274" s="14" t="s">
        <v>43</v>
      </c>
      <c r="I274" s="14" t="s">
        <v>36</v>
      </c>
      <c r="J274" s="14"/>
    </row>
    <row r="275" spans="1:10" x14ac:dyDescent="0.3">
      <c r="A275" s="13"/>
      <c r="B275" s="14" t="str">
        <f t="shared" si="4"/>
        <v/>
      </c>
      <c r="C275" s="14"/>
      <c r="D275" s="14"/>
      <c r="E275" s="14"/>
      <c r="F275" s="16"/>
      <c r="G275" s="14" t="s">
        <v>42</v>
      </c>
      <c r="H275" s="14" t="s">
        <v>43</v>
      </c>
      <c r="I275" s="14" t="s">
        <v>36</v>
      </c>
      <c r="J275" s="14"/>
    </row>
    <row r="276" spans="1:10" x14ac:dyDescent="0.3">
      <c r="A276" s="13"/>
      <c r="B276" s="14" t="str">
        <f t="shared" si="4"/>
        <v/>
      </c>
      <c r="C276" s="14"/>
      <c r="D276" s="14"/>
      <c r="E276" s="14"/>
      <c r="F276" s="16"/>
      <c r="G276" s="14" t="s">
        <v>42</v>
      </c>
      <c r="H276" s="14" t="s">
        <v>43</v>
      </c>
      <c r="I276" s="14" t="s">
        <v>36</v>
      </c>
      <c r="J276" s="14"/>
    </row>
    <row r="277" spans="1:10" x14ac:dyDescent="0.3">
      <c r="A277" s="13"/>
      <c r="B277" s="14" t="str">
        <f t="shared" si="4"/>
        <v/>
      </c>
      <c r="C277" s="14"/>
      <c r="D277" s="14"/>
      <c r="E277" s="14"/>
      <c r="F277" s="16"/>
      <c r="G277" s="14" t="s">
        <v>42</v>
      </c>
      <c r="H277" s="14" t="s">
        <v>43</v>
      </c>
      <c r="I277" s="14" t="s">
        <v>36</v>
      </c>
      <c r="J277" s="14"/>
    </row>
    <row r="278" spans="1:10" x14ac:dyDescent="0.3">
      <c r="A278" s="13"/>
      <c r="B278" s="14" t="str">
        <f t="shared" si="4"/>
        <v/>
      </c>
      <c r="C278" s="14"/>
      <c r="D278" s="14"/>
      <c r="E278" s="14"/>
      <c r="F278" s="16"/>
      <c r="G278" s="14" t="s">
        <v>42</v>
      </c>
      <c r="H278" s="14" t="s">
        <v>43</v>
      </c>
      <c r="I278" s="14" t="s">
        <v>36</v>
      </c>
      <c r="J278" s="14"/>
    </row>
    <row r="279" spans="1:10" x14ac:dyDescent="0.3">
      <c r="A279" s="13"/>
      <c r="B279" s="14" t="str">
        <f t="shared" si="4"/>
        <v/>
      </c>
      <c r="C279" s="14"/>
      <c r="D279" s="14"/>
      <c r="E279" s="14"/>
      <c r="F279" s="16"/>
      <c r="G279" s="14" t="s">
        <v>42</v>
      </c>
      <c r="H279" s="14" t="s">
        <v>43</v>
      </c>
      <c r="I279" s="14" t="s">
        <v>36</v>
      </c>
      <c r="J279" s="14"/>
    </row>
    <row r="280" spans="1:10" x14ac:dyDescent="0.3">
      <c r="A280" s="13"/>
      <c r="B280" s="14" t="str">
        <f t="shared" si="4"/>
        <v/>
      </c>
      <c r="C280" s="14"/>
      <c r="D280" s="14"/>
      <c r="E280" s="14"/>
      <c r="F280" s="16"/>
      <c r="G280" s="14" t="s">
        <v>42</v>
      </c>
      <c r="H280" s="14" t="s">
        <v>43</v>
      </c>
      <c r="I280" s="14" t="s">
        <v>36</v>
      </c>
      <c r="J280" s="14"/>
    </row>
    <row r="281" spans="1:10" x14ac:dyDescent="0.3">
      <c r="A281" s="13"/>
      <c r="B281" s="14" t="str">
        <f t="shared" si="4"/>
        <v/>
      </c>
      <c r="C281" s="14"/>
      <c r="D281" s="14"/>
      <c r="E281" s="14"/>
      <c r="F281" s="16"/>
      <c r="G281" s="14" t="s">
        <v>42</v>
      </c>
      <c r="H281" s="14" t="s">
        <v>43</v>
      </c>
      <c r="I281" s="14" t="s">
        <v>36</v>
      </c>
      <c r="J281" s="14"/>
    </row>
    <row r="282" spans="1:10" x14ac:dyDescent="0.3">
      <c r="A282" s="13"/>
      <c r="B282" s="14" t="str">
        <f t="shared" si="4"/>
        <v/>
      </c>
      <c r="C282" s="14"/>
      <c r="D282" s="14"/>
      <c r="E282" s="14"/>
      <c r="F282" s="16"/>
      <c r="G282" s="14" t="s">
        <v>42</v>
      </c>
      <c r="H282" s="14" t="s">
        <v>43</v>
      </c>
      <c r="I282" s="14" t="s">
        <v>36</v>
      </c>
      <c r="J282" s="14"/>
    </row>
    <row r="283" spans="1:10" x14ac:dyDescent="0.3">
      <c r="A283" s="13"/>
      <c r="B283" s="14" t="str">
        <f t="shared" si="4"/>
        <v/>
      </c>
      <c r="C283" s="14"/>
      <c r="D283" s="14"/>
      <c r="E283" s="14"/>
      <c r="F283" s="16"/>
      <c r="G283" s="14" t="s">
        <v>42</v>
      </c>
      <c r="H283" s="14" t="s">
        <v>43</v>
      </c>
      <c r="I283" s="14" t="s">
        <v>36</v>
      </c>
      <c r="J283" s="14"/>
    </row>
    <row r="284" spans="1:10" x14ac:dyDescent="0.3">
      <c r="A284" s="13"/>
      <c r="B284" s="14" t="str">
        <f t="shared" si="4"/>
        <v/>
      </c>
      <c r="C284" s="14"/>
      <c r="D284" s="14"/>
      <c r="E284" s="14"/>
      <c r="F284" s="16"/>
      <c r="G284" s="14" t="s">
        <v>42</v>
      </c>
      <c r="H284" s="14" t="s">
        <v>43</v>
      </c>
      <c r="I284" s="14" t="s">
        <v>36</v>
      </c>
      <c r="J284" s="14"/>
    </row>
    <row r="285" spans="1:10" x14ac:dyDescent="0.3">
      <c r="A285" s="13"/>
      <c r="B285" s="14" t="str">
        <f t="shared" si="4"/>
        <v/>
      </c>
      <c r="C285" s="14"/>
      <c r="D285" s="14"/>
      <c r="E285" s="14"/>
      <c r="F285" s="16"/>
      <c r="G285" s="14" t="s">
        <v>42</v>
      </c>
      <c r="H285" s="14" t="s">
        <v>43</v>
      </c>
      <c r="I285" s="14" t="s">
        <v>36</v>
      </c>
      <c r="J285" s="14"/>
    </row>
    <row r="286" spans="1:10" x14ac:dyDescent="0.3">
      <c r="A286" s="13"/>
      <c r="B286" s="14" t="str">
        <f t="shared" si="4"/>
        <v/>
      </c>
      <c r="C286" s="14"/>
      <c r="D286" s="14"/>
      <c r="E286" s="14"/>
      <c r="F286" s="16"/>
      <c r="G286" s="14" t="s">
        <v>42</v>
      </c>
      <c r="H286" s="14" t="s">
        <v>43</v>
      </c>
      <c r="I286" s="14" t="s">
        <v>36</v>
      </c>
      <c r="J286" s="14"/>
    </row>
    <row r="287" spans="1:10" x14ac:dyDescent="0.3">
      <c r="A287" s="13"/>
      <c r="B287" s="14" t="str">
        <f t="shared" si="4"/>
        <v/>
      </c>
      <c r="C287" s="14"/>
      <c r="D287" s="14"/>
      <c r="E287" s="14"/>
      <c r="F287" s="16"/>
      <c r="G287" s="14" t="s">
        <v>42</v>
      </c>
      <c r="H287" s="14" t="s">
        <v>43</v>
      </c>
      <c r="I287" s="14" t="s">
        <v>36</v>
      </c>
      <c r="J287" s="14"/>
    </row>
    <row r="288" spans="1:10" x14ac:dyDescent="0.3">
      <c r="A288" s="13"/>
      <c r="B288" s="14" t="str">
        <f t="shared" si="4"/>
        <v/>
      </c>
      <c r="C288" s="14"/>
      <c r="D288" s="14"/>
      <c r="E288" s="14"/>
      <c r="F288" s="16"/>
      <c r="G288" s="14" t="s">
        <v>42</v>
      </c>
      <c r="H288" s="14" t="s">
        <v>43</v>
      </c>
      <c r="I288" s="14" t="s">
        <v>36</v>
      </c>
      <c r="J288" s="14"/>
    </row>
    <row r="289" spans="1:10" x14ac:dyDescent="0.3">
      <c r="A289" s="13"/>
      <c r="B289" s="14" t="str">
        <f t="shared" si="4"/>
        <v/>
      </c>
      <c r="C289" s="14"/>
      <c r="D289" s="14"/>
      <c r="E289" s="14"/>
      <c r="F289" s="16"/>
      <c r="G289" s="14" t="s">
        <v>42</v>
      </c>
      <c r="H289" s="14" t="s">
        <v>43</v>
      </c>
      <c r="I289" s="14" t="s">
        <v>36</v>
      </c>
      <c r="J289" s="14"/>
    </row>
    <row r="290" spans="1:10" x14ac:dyDescent="0.3">
      <c r="A290" s="13"/>
      <c r="B290" s="14" t="str">
        <f t="shared" si="4"/>
        <v/>
      </c>
      <c r="C290" s="14"/>
      <c r="D290" s="14"/>
      <c r="E290" s="14"/>
      <c r="F290" s="16"/>
      <c r="G290" s="14" t="s">
        <v>42</v>
      </c>
      <c r="H290" s="14" t="s">
        <v>43</v>
      </c>
      <c r="I290" s="14" t="s">
        <v>36</v>
      </c>
      <c r="J290" s="14"/>
    </row>
    <row r="291" spans="1:10" x14ac:dyDescent="0.3">
      <c r="A291" s="13"/>
      <c r="B291" s="14" t="str">
        <f t="shared" si="4"/>
        <v/>
      </c>
      <c r="C291" s="14"/>
      <c r="D291" s="14"/>
      <c r="E291" s="14"/>
      <c r="F291" s="16"/>
      <c r="G291" s="14" t="s">
        <v>42</v>
      </c>
      <c r="H291" s="14" t="s">
        <v>43</v>
      </c>
      <c r="I291" s="14" t="s">
        <v>36</v>
      </c>
      <c r="J291" s="14"/>
    </row>
    <row r="292" spans="1:10" x14ac:dyDescent="0.3">
      <c r="A292" s="13"/>
      <c r="B292" s="14" t="str">
        <f t="shared" si="4"/>
        <v/>
      </c>
      <c r="C292" s="14"/>
      <c r="D292" s="14"/>
      <c r="E292" s="14"/>
      <c r="F292" s="16"/>
      <c r="G292" s="14" t="s">
        <v>42</v>
      </c>
      <c r="H292" s="14" t="s">
        <v>43</v>
      </c>
      <c r="I292" s="14" t="s">
        <v>36</v>
      </c>
      <c r="J292" s="14"/>
    </row>
    <row r="293" spans="1:10" x14ac:dyDescent="0.3">
      <c r="A293" s="13"/>
      <c r="B293" s="14" t="str">
        <f t="shared" si="4"/>
        <v/>
      </c>
      <c r="C293" s="14"/>
      <c r="D293" s="14"/>
      <c r="E293" s="14"/>
      <c r="F293" s="16"/>
      <c r="G293" s="14" t="s">
        <v>42</v>
      </c>
      <c r="H293" s="14" t="s">
        <v>43</v>
      </c>
      <c r="I293" s="14" t="s">
        <v>36</v>
      </c>
      <c r="J293" s="14"/>
    </row>
    <row r="294" spans="1:10" x14ac:dyDescent="0.3">
      <c r="A294" s="13"/>
      <c r="B294" s="14" t="str">
        <f t="shared" si="4"/>
        <v/>
      </c>
      <c r="C294" s="14"/>
      <c r="D294" s="14"/>
      <c r="E294" s="14"/>
      <c r="F294" s="16"/>
      <c r="G294" s="14" t="s">
        <v>42</v>
      </c>
      <c r="H294" s="14" t="s">
        <v>43</v>
      </c>
      <c r="I294" s="14" t="s">
        <v>36</v>
      </c>
      <c r="J294" s="14"/>
    </row>
    <row r="295" spans="1:10" x14ac:dyDescent="0.3">
      <c r="A295" s="13"/>
      <c r="B295" s="14" t="str">
        <f t="shared" si="4"/>
        <v/>
      </c>
      <c r="C295" s="14"/>
      <c r="D295" s="14"/>
      <c r="E295" s="14"/>
      <c r="F295" s="16"/>
      <c r="G295" s="14" t="s">
        <v>42</v>
      </c>
      <c r="H295" s="14" t="s">
        <v>43</v>
      </c>
      <c r="I295" s="14" t="s">
        <v>36</v>
      </c>
      <c r="J295" s="14"/>
    </row>
    <row r="296" spans="1:10" x14ac:dyDescent="0.3">
      <c r="A296" s="13"/>
      <c r="B296" s="14" t="str">
        <f t="shared" si="4"/>
        <v/>
      </c>
      <c r="C296" s="14"/>
      <c r="D296" s="14"/>
      <c r="E296" s="14"/>
      <c r="F296" s="16"/>
      <c r="G296" s="14" t="s">
        <v>42</v>
      </c>
      <c r="H296" s="14" t="s">
        <v>43</v>
      </c>
      <c r="I296" s="14" t="s">
        <v>36</v>
      </c>
      <c r="J296" s="14"/>
    </row>
    <row r="297" spans="1:10" x14ac:dyDescent="0.3">
      <c r="A297" s="13"/>
      <c r="B297" s="14" t="str">
        <f t="shared" si="4"/>
        <v/>
      </c>
      <c r="C297" s="14"/>
      <c r="D297" s="14"/>
      <c r="E297" s="14"/>
      <c r="F297" s="16"/>
      <c r="G297" s="14" t="s">
        <v>42</v>
      </c>
      <c r="H297" s="14" t="s">
        <v>43</v>
      </c>
      <c r="I297" s="14" t="s">
        <v>36</v>
      </c>
      <c r="J297" s="14"/>
    </row>
    <row r="298" spans="1:10" x14ac:dyDescent="0.3">
      <c r="A298" s="13"/>
      <c r="B298" s="14" t="str">
        <f t="shared" si="4"/>
        <v/>
      </c>
      <c r="C298" s="14"/>
      <c r="D298" s="14"/>
      <c r="E298" s="14"/>
      <c r="F298" s="16"/>
      <c r="G298" s="14" t="s">
        <v>42</v>
      </c>
      <c r="H298" s="14" t="s">
        <v>43</v>
      </c>
      <c r="I298" s="14" t="s">
        <v>36</v>
      </c>
      <c r="J298" s="14"/>
    </row>
    <row r="299" spans="1:10" x14ac:dyDescent="0.3">
      <c r="A299" s="13"/>
      <c r="B299" s="14" t="str">
        <f t="shared" si="4"/>
        <v/>
      </c>
      <c r="C299" s="14"/>
      <c r="D299" s="14"/>
      <c r="E299" s="14"/>
      <c r="F299" s="16"/>
      <c r="G299" s="14" t="s">
        <v>42</v>
      </c>
      <c r="H299" s="14" t="s">
        <v>43</v>
      </c>
      <c r="I299" s="14" t="s">
        <v>36</v>
      </c>
      <c r="J299" s="14"/>
    </row>
    <row r="300" spans="1:10" x14ac:dyDescent="0.3">
      <c r="A300" s="13"/>
      <c r="B300" s="14" t="str">
        <f t="shared" si="4"/>
        <v/>
      </c>
      <c r="C300" s="14"/>
      <c r="D300" s="14"/>
      <c r="E300" s="14"/>
      <c r="F300" s="16"/>
      <c r="G300" s="14" t="s">
        <v>42</v>
      </c>
      <c r="H300" s="14" t="s">
        <v>43</v>
      </c>
      <c r="I300" s="14" t="s">
        <v>36</v>
      </c>
      <c r="J300" s="14"/>
    </row>
    <row r="301" spans="1:10" x14ac:dyDescent="0.3">
      <c r="A301" s="13"/>
      <c r="B301" s="14" t="str">
        <f t="shared" si="4"/>
        <v/>
      </c>
      <c r="C301" s="14"/>
      <c r="D301" s="14"/>
      <c r="E301" s="14"/>
      <c r="F301" s="16"/>
      <c r="G301" s="14" t="s">
        <v>42</v>
      </c>
      <c r="H301" s="14" t="s">
        <v>43</v>
      </c>
      <c r="I301" s="14" t="s">
        <v>36</v>
      </c>
      <c r="J301" s="14"/>
    </row>
    <row r="302" spans="1:10" x14ac:dyDescent="0.3">
      <c r="A302" s="13"/>
      <c r="B302" s="14" t="str">
        <f t="shared" si="4"/>
        <v/>
      </c>
      <c r="C302" s="14"/>
      <c r="D302" s="14"/>
      <c r="E302" s="14"/>
      <c r="F302" s="16"/>
      <c r="G302" s="14" t="s">
        <v>42</v>
      </c>
      <c r="H302" s="14" t="s">
        <v>43</v>
      </c>
      <c r="I302" s="14" t="s">
        <v>36</v>
      </c>
      <c r="J302" s="14"/>
    </row>
    <row r="303" spans="1:10" x14ac:dyDescent="0.3">
      <c r="A303" s="13"/>
      <c r="B303" s="14" t="str">
        <f t="shared" si="4"/>
        <v/>
      </c>
      <c r="C303" s="14"/>
      <c r="D303" s="14"/>
      <c r="E303" s="14"/>
      <c r="F303" s="16"/>
      <c r="G303" s="14" t="s">
        <v>42</v>
      </c>
      <c r="H303" s="14" t="s">
        <v>43</v>
      </c>
      <c r="I303" s="14" t="s">
        <v>36</v>
      </c>
      <c r="J303" s="14"/>
    </row>
    <row r="304" spans="1:10" x14ac:dyDescent="0.3">
      <c r="A304" s="13"/>
      <c r="B304" s="14" t="str">
        <f t="shared" si="4"/>
        <v/>
      </c>
      <c r="C304" s="14"/>
      <c r="D304" s="14"/>
      <c r="E304" s="14"/>
      <c r="F304" s="16"/>
      <c r="G304" s="14" t="s">
        <v>42</v>
      </c>
      <c r="H304" s="14" t="s">
        <v>43</v>
      </c>
      <c r="I304" s="14" t="s">
        <v>36</v>
      </c>
      <c r="J304" s="14"/>
    </row>
    <row r="305" spans="1:10" x14ac:dyDescent="0.3">
      <c r="A305" s="13"/>
      <c r="B305" s="14" t="str">
        <f t="shared" si="4"/>
        <v/>
      </c>
      <c r="C305" s="14"/>
      <c r="D305" s="14"/>
      <c r="E305" s="14"/>
      <c r="F305" s="16"/>
      <c r="G305" s="14" t="s">
        <v>42</v>
      </c>
      <c r="H305" s="14" t="s">
        <v>43</v>
      </c>
      <c r="I305" s="14" t="s">
        <v>36</v>
      </c>
      <c r="J305" s="14"/>
    </row>
    <row r="306" spans="1:10" x14ac:dyDescent="0.3">
      <c r="A306" s="13"/>
      <c r="B306" s="14" t="str">
        <f t="shared" si="4"/>
        <v/>
      </c>
      <c r="C306" s="14"/>
      <c r="D306" s="14"/>
      <c r="E306" s="14"/>
      <c r="F306" s="16"/>
      <c r="G306" s="14" t="s">
        <v>42</v>
      </c>
      <c r="H306" s="14" t="s">
        <v>43</v>
      </c>
      <c r="I306" s="14" t="s">
        <v>36</v>
      </c>
      <c r="J306" s="14"/>
    </row>
    <row r="307" spans="1:10" x14ac:dyDescent="0.3">
      <c r="A307" s="13"/>
      <c r="B307" s="14" t="str">
        <f t="shared" si="4"/>
        <v/>
      </c>
      <c r="C307" s="14"/>
      <c r="D307" s="14"/>
      <c r="E307" s="14"/>
      <c r="F307" s="16"/>
      <c r="G307" s="14" t="s">
        <v>42</v>
      </c>
      <c r="H307" s="14" t="s">
        <v>43</v>
      </c>
      <c r="I307" s="14" t="s">
        <v>36</v>
      </c>
      <c r="J307" s="14"/>
    </row>
    <row r="308" spans="1:10" x14ac:dyDescent="0.3">
      <c r="A308" s="13"/>
      <c r="B308" s="14" t="str">
        <f t="shared" si="4"/>
        <v/>
      </c>
      <c r="C308" s="14"/>
      <c r="D308" s="14"/>
      <c r="E308" s="14"/>
      <c r="F308" s="16"/>
      <c r="G308" s="14" t="s">
        <v>42</v>
      </c>
      <c r="H308" s="14" t="s">
        <v>43</v>
      </c>
      <c r="I308" s="14" t="s">
        <v>36</v>
      </c>
      <c r="J308" s="14"/>
    </row>
    <row r="309" spans="1:10" x14ac:dyDescent="0.3">
      <c r="A309" s="13"/>
      <c r="B309" s="14" t="str">
        <f t="shared" si="4"/>
        <v/>
      </c>
      <c r="C309" s="14"/>
      <c r="D309" s="14"/>
      <c r="E309" s="14"/>
      <c r="F309" s="16"/>
      <c r="G309" s="14" t="s">
        <v>42</v>
      </c>
      <c r="H309" s="14" t="s">
        <v>43</v>
      </c>
      <c r="I309" s="14" t="s">
        <v>36</v>
      </c>
      <c r="J309" s="14"/>
    </row>
    <row r="310" spans="1:10" x14ac:dyDescent="0.3">
      <c r="A310" s="13"/>
      <c r="B310" s="14" t="str">
        <f t="shared" si="4"/>
        <v/>
      </c>
      <c r="C310" s="14"/>
      <c r="D310" s="14"/>
      <c r="E310" s="14"/>
      <c r="F310" s="16"/>
      <c r="G310" s="14" t="s">
        <v>42</v>
      </c>
      <c r="H310" s="14" t="s">
        <v>43</v>
      </c>
      <c r="I310" s="14" t="s">
        <v>36</v>
      </c>
      <c r="J310" s="14"/>
    </row>
    <row r="311" spans="1:10" x14ac:dyDescent="0.3">
      <c r="A311" s="13"/>
      <c r="B311" s="14" t="str">
        <f t="shared" si="4"/>
        <v/>
      </c>
      <c r="C311" s="14"/>
      <c r="D311" s="14"/>
      <c r="E311" s="14"/>
      <c r="F311" s="16"/>
      <c r="G311" s="14" t="s">
        <v>42</v>
      </c>
      <c r="H311" s="14" t="s">
        <v>43</v>
      </c>
      <c r="I311" s="14" t="s">
        <v>36</v>
      </c>
      <c r="J311" s="14"/>
    </row>
    <row r="312" spans="1:10" x14ac:dyDescent="0.3">
      <c r="A312" s="13"/>
      <c r="B312" s="14" t="str">
        <f t="shared" si="4"/>
        <v/>
      </c>
      <c r="C312" s="14"/>
      <c r="D312" s="14"/>
      <c r="E312" s="14"/>
      <c r="F312" s="16"/>
      <c r="G312" s="14" t="s">
        <v>42</v>
      </c>
      <c r="H312" s="14" t="s">
        <v>43</v>
      </c>
      <c r="I312" s="14" t="s">
        <v>36</v>
      </c>
      <c r="J312" s="14"/>
    </row>
    <row r="313" spans="1:10" x14ac:dyDescent="0.3">
      <c r="A313" s="13"/>
      <c r="B313" s="14" t="str">
        <f t="shared" si="4"/>
        <v/>
      </c>
      <c r="C313" s="14"/>
      <c r="D313" s="14"/>
      <c r="E313" s="14"/>
      <c r="F313" s="16"/>
      <c r="G313" s="14" t="s">
        <v>42</v>
      </c>
      <c r="H313" s="14" t="s">
        <v>43</v>
      </c>
      <c r="I313" s="14" t="s">
        <v>36</v>
      </c>
      <c r="J313" s="14"/>
    </row>
    <row r="314" spans="1:10" x14ac:dyDescent="0.3">
      <c r="A314" s="13"/>
      <c r="B314" s="14" t="str">
        <f t="shared" si="4"/>
        <v/>
      </c>
      <c r="C314" s="14"/>
      <c r="D314" s="14"/>
      <c r="E314" s="14"/>
      <c r="F314" s="16"/>
      <c r="G314" s="14" t="s">
        <v>42</v>
      </c>
      <c r="H314" s="14" t="s">
        <v>43</v>
      </c>
      <c r="I314" s="14" t="s">
        <v>36</v>
      </c>
      <c r="J314" s="14"/>
    </row>
    <row r="315" spans="1:10" x14ac:dyDescent="0.3">
      <c r="A315" s="13"/>
      <c r="B315" s="14" t="str">
        <f t="shared" si="4"/>
        <v/>
      </c>
      <c r="C315" s="14"/>
      <c r="D315" s="14"/>
      <c r="E315" s="14"/>
      <c r="F315" s="16"/>
      <c r="G315" s="14" t="s">
        <v>42</v>
      </c>
      <c r="H315" s="14" t="s">
        <v>43</v>
      </c>
      <c r="I315" s="14" t="s">
        <v>36</v>
      </c>
      <c r="J315" s="14"/>
    </row>
    <row r="316" spans="1:10" x14ac:dyDescent="0.3">
      <c r="A316" s="13"/>
      <c r="B316" s="14" t="str">
        <f t="shared" si="4"/>
        <v/>
      </c>
      <c r="C316" s="14"/>
      <c r="D316" s="14"/>
      <c r="E316" s="14"/>
      <c r="F316" s="16"/>
      <c r="G316" s="14" t="s">
        <v>42</v>
      </c>
      <c r="H316" s="14" t="s">
        <v>43</v>
      </c>
      <c r="I316" s="14" t="s">
        <v>36</v>
      </c>
      <c r="J316" s="14"/>
    </row>
    <row r="317" spans="1:10" x14ac:dyDescent="0.3">
      <c r="A317" s="13"/>
      <c r="B317" s="14" t="str">
        <f t="shared" si="4"/>
        <v/>
      </c>
      <c r="C317" s="14"/>
      <c r="D317" s="14"/>
      <c r="E317" s="14"/>
      <c r="F317" s="16"/>
      <c r="G317" s="14" t="s">
        <v>42</v>
      </c>
      <c r="H317" s="14" t="s">
        <v>43</v>
      </c>
      <c r="I317" s="14" t="s">
        <v>36</v>
      </c>
      <c r="J317" s="14"/>
    </row>
    <row r="318" spans="1:10" x14ac:dyDescent="0.3">
      <c r="A318" s="13"/>
      <c r="B318" s="14" t="str">
        <f t="shared" si="4"/>
        <v/>
      </c>
      <c r="C318" s="14"/>
      <c r="D318" s="14"/>
      <c r="E318" s="14"/>
      <c r="F318" s="16"/>
      <c r="G318" s="14" t="s">
        <v>42</v>
      </c>
      <c r="H318" s="14" t="s">
        <v>43</v>
      </c>
      <c r="I318" s="14" t="s">
        <v>36</v>
      </c>
      <c r="J318" s="14"/>
    </row>
    <row r="319" spans="1:10" x14ac:dyDescent="0.3">
      <c r="A319" s="13"/>
      <c r="B319" s="14" t="str">
        <f t="shared" si="4"/>
        <v/>
      </c>
      <c r="C319" s="14"/>
      <c r="D319" s="14"/>
      <c r="E319" s="14"/>
      <c r="F319" s="16"/>
      <c r="G319" s="14" t="s">
        <v>42</v>
      </c>
      <c r="H319" s="14" t="s">
        <v>43</v>
      </c>
      <c r="I319" s="14" t="s">
        <v>36</v>
      </c>
      <c r="J319" s="14"/>
    </row>
    <row r="320" spans="1:10" x14ac:dyDescent="0.3">
      <c r="A320" s="13"/>
      <c r="B320" s="14" t="str">
        <f t="shared" si="4"/>
        <v/>
      </c>
      <c r="C320" s="14"/>
      <c r="D320" s="14"/>
      <c r="E320" s="14"/>
      <c r="F320" s="16"/>
      <c r="G320" s="14" t="s">
        <v>42</v>
      </c>
      <c r="H320" s="14" t="s">
        <v>43</v>
      </c>
      <c r="I320" s="14" t="s">
        <v>36</v>
      </c>
      <c r="J320" s="14"/>
    </row>
    <row r="321" spans="1:10" x14ac:dyDescent="0.3">
      <c r="A321" s="13"/>
      <c r="B321" s="14" t="str">
        <f t="shared" si="4"/>
        <v/>
      </c>
      <c r="C321" s="14"/>
      <c r="D321" s="14"/>
      <c r="E321" s="14"/>
      <c r="F321" s="16"/>
      <c r="G321" s="14" t="s">
        <v>42</v>
      </c>
      <c r="H321" s="14" t="s">
        <v>43</v>
      </c>
      <c r="I321" s="14" t="s">
        <v>36</v>
      </c>
      <c r="J321" s="14"/>
    </row>
    <row r="322" spans="1:10" x14ac:dyDescent="0.3">
      <c r="A322" s="13"/>
      <c r="B322" s="14" t="str">
        <f t="shared" ref="B322:B385" si="5">IF(A322="","", "G"&amp;TEXT(A322,"yymmdd")&amp;"-"&amp;TEXT(ROW()-1,"0000"))</f>
        <v/>
      </c>
      <c r="C322" s="14"/>
      <c r="D322" s="14"/>
      <c r="E322" s="14"/>
      <c r="F322" s="16"/>
      <c r="G322" s="14" t="s">
        <v>42</v>
      </c>
      <c r="H322" s="14" t="s">
        <v>43</v>
      </c>
      <c r="I322" s="14" t="s">
        <v>36</v>
      </c>
      <c r="J322" s="14"/>
    </row>
    <row r="323" spans="1:10" x14ac:dyDescent="0.3">
      <c r="A323" s="13"/>
      <c r="B323" s="14" t="str">
        <f t="shared" si="5"/>
        <v/>
      </c>
      <c r="C323" s="14"/>
      <c r="D323" s="14"/>
      <c r="E323" s="14"/>
      <c r="F323" s="16"/>
      <c r="G323" s="14" t="s">
        <v>42</v>
      </c>
      <c r="H323" s="14" t="s">
        <v>43</v>
      </c>
      <c r="I323" s="14" t="s">
        <v>36</v>
      </c>
      <c r="J323" s="14"/>
    </row>
    <row r="324" spans="1:10" x14ac:dyDescent="0.3">
      <c r="A324" s="13"/>
      <c r="B324" s="14" t="str">
        <f t="shared" si="5"/>
        <v/>
      </c>
      <c r="C324" s="14"/>
      <c r="D324" s="14"/>
      <c r="E324" s="14"/>
      <c r="F324" s="16"/>
      <c r="G324" s="14" t="s">
        <v>42</v>
      </c>
      <c r="H324" s="14" t="s">
        <v>43</v>
      </c>
      <c r="I324" s="14" t="s">
        <v>36</v>
      </c>
      <c r="J324" s="14"/>
    </row>
    <row r="325" spans="1:10" x14ac:dyDescent="0.3">
      <c r="A325" s="13"/>
      <c r="B325" s="14" t="str">
        <f t="shared" si="5"/>
        <v/>
      </c>
      <c r="C325" s="14"/>
      <c r="D325" s="14"/>
      <c r="E325" s="14"/>
      <c r="F325" s="16"/>
      <c r="G325" s="14" t="s">
        <v>42</v>
      </c>
      <c r="H325" s="14" t="s">
        <v>43</v>
      </c>
      <c r="I325" s="14" t="s">
        <v>36</v>
      </c>
      <c r="J325" s="14"/>
    </row>
    <row r="326" spans="1:10" x14ac:dyDescent="0.3">
      <c r="A326" s="13"/>
      <c r="B326" s="14" t="str">
        <f t="shared" si="5"/>
        <v/>
      </c>
      <c r="C326" s="14"/>
      <c r="D326" s="14"/>
      <c r="E326" s="14"/>
      <c r="F326" s="16"/>
      <c r="G326" s="14" t="s">
        <v>42</v>
      </c>
      <c r="H326" s="14" t="s">
        <v>43</v>
      </c>
      <c r="I326" s="14" t="s">
        <v>36</v>
      </c>
      <c r="J326" s="14"/>
    </row>
    <row r="327" spans="1:10" x14ac:dyDescent="0.3">
      <c r="A327" s="13"/>
      <c r="B327" s="14" t="str">
        <f t="shared" si="5"/>
        <v/>
      </c>
      <c r="C327" s="14"/>
      <c r="D327" s="14"/>
      <c r="E327" s="14"/>
      <c r="F327" s="16"/>
      <c r="G327" s="14" t="s">
        <v>42</v>
      </c>
      <c r="H327" s="14" t="s">
        <v>43</v>
      </c>
      <c r="I327" s="14" t="s">
        <v>36</v>
      </c>
      <c r="J327" s="14"/>
    </row>
    <row r="328" spans="1:10" x14ac:dyDescent="0.3">
      <c r="A328" s="13"/>
      <c r="B328" s="14" t="str">
        <f t="shared" si="5"/>
        <v/>
      </c>
      <c r="C328" s="14"/>
      <c r="D328" s="14"/>
      <c r="E328" s="14"/>
      <c r="F328" s="16"/>
      <c r="G328" s="14" t="s">
        <v>42</v>
      </c>
      <c r="H328" s="14" t="s">
        <v>43</v>
      </c>
      <c r="I328" s="14" t="s">
        <v>36</v>
      </c>
      <c r="J328" s="14"/>
    </row>
    <row r="329" spans="1:10" x14ac:dyDescent="0.3">
      <c r="A329" s="13"/>
      <c r="B329" s="14" t="str">
        <f t="shared" si="5"/>
        <v/>
      </c>
      <c r="C329" s="14"/>
      <c r="D329" s="14"/>
      <c r="E329" s="14"/>
      <c r="F329" s="16"/>
      <c r="G329" s="14" t="s">
        <v>42</v>
      </c>
      <c r="H329" s="14" t="s">
        <v>43</v>
      </c>
      <c r="I329" s="14" t="s">
        <v>36</v>
      </c>
      <c r="J329" s="14"/>
    </row>
    <row r="330" spans="1:10" x14ac:dyDescent="0.3">
      <c r="A330" s="13"/>
      <c r="B330" s="14" t="str">
        <f t="shared" si="5"/>
        <v/>
      </c>
      <c r="C330" s="14"/>
      <c r="D330" s="14"/>
      <c r="E330" s="14"/>
      <c r="F330" s="16"/>
      <c r="G330" s="14" t="s">
        <v>42</v>
      </c>
      <c r="H330" s="14" t="s">
        <v>43</v>
      </c>
      <c r="I330" s="14" t="s">
        <v>36</v>
      </c>
      <c r="J330" s="14"/>
    </row>
    <row r="331" spans="1:10" x14ac:dyDescent="0.3">
      <c r="A331" s="13"/>
      <c r="B331" s="14" t="str">
        <f t="shared" si="5"/>
        <v/>
      </c>
      <c r="C331" s="14"/>
      <c r="D331" s="14"/>
      <c r="E331" s="14"/>
      <c r="F331" s="16"/>
      <c r="G331" s="14" t="s">
        <v>42</v>
      </c>
      <c r="H331" s="14" t="s">
        <v>43</v>
      </c>
      <c r="I331" s="14" t="s">
        <v>36</v>
      </c>
      <c r="J331" s="14"/>
    </row>
    <row r="332" spans="1:10" x14ac:dyDescent="0.3">
      <c r="A332" s="13"/>
      <c r="B332" s="14" t="str">
        <f t="shared" si="5"/>
        <v/>
      </c>
      <c r="C332" s="14"/>
      <c r="D332" s="14"/>
      <c r="E332" s="14"/>
      <c r="F332" s="16"/>
      <c r="G332" s="14" t="s">
        <v>42</v>
      </c>
      <c r="H332" s="14" t="s">
        <v>43</v>
      </c>
      <c r="I332" s="14" t="s">
        <v>36</v>
      </c>
      <c r="J332" s="14"/>
    </row>
    <row r="333" spans="1:10" x14ac:dyDescent="0.3">
      <c r="A333" s="13"/>
      <c r="B333" s="14" t="str">
        <f t="shared" si="5"/>
        <v/>
      </c>
      <c r="C333" s="14"/>
      <c r="D333" s="14"/>
      <c r="E333" s="14"/>
      <c r="F333" s="16"/>
      <c r="G333" s="14" t="s">
        <v>42</v>
      </c>
      <c r="H333" s="14" t="s">
        <v>43</v>
      </c>
      <c r="I333" s="14" t="s">
        <v>36</v>
      </c>
      <c r="J333" s="14"/>
    </row>
    <row r="334" spans="1:10" x14ac:dyDescent="0.3">
      <c r="A334" s="13"/>
      <c r="B334" s="14" t="str">
        <f t="shared" si="5"/>
        <v/>
      </c>
      <c r="C334" s="14"/>
      <c r="D334" s="14"/>
      <c r="E334" s="14"/>
      <c r="F334" s="16"/>
      <c r="G334" s="14" t="s">
        <v>42</v>
      </c>
      <c r="H334" s="14" t="s">
        <v>43</v>
      </c>
      <c r="I334" s="14" t="s">
        <v>36</v>
      </c>
      <c r="J334" s="14"/>
    </row>
    <row r="335" spans="1:10" x14ac:dyDescent="0.3">
      <c r="A335" s="13"/>
      <c r="B335" s="14" t="str">
        <f t="shared" si="5"/>
        <v/>
      </c>
      <c r="C335" s="14"/>
      <c r="D335" s="14"/>
      <c r="E335" s="14"/>
      <c r="F335" s="16"/>
      <c r="G335" s="14" t="s">
        <v>42</v>
      </c>
      <c r="H335" s="14" t="s">
        <v>43</v>
      </c>
      <c r="I335" s="14" t="s">
        <v>36</v>
      </c>
      <c r="J335" s="14"/>
    </row>
    <row r="336" spans="1:10" x14ac:dyDescent="0.3">
      <c r="A336" s="13"/>
      <c r="B336" s="14" t="str">
        <f t="shared" si="5"/>
        <v/>
      </c>
      <c r="C336" s="14"/>
      <c r="D336" s="14"/>
      <c r="E336" s="14"/>
      <c r="F336" s="16"/>
      <c r="G336" s="14" t="s">
        <v>42</v>
      </c>
      <c r="H336" s="14" t="s">
        <v>43</v>
      </c>
      <c r="I336" s="14" t="s">
        <v>36</v>
      </c>
      <c r="J336" s="14"/>
    </row>
    <row r="337" spans="1:10" x14ac:dyDescent="0.3">
      <c r="A337" s="13"/>
      <c r="B337" s="14" t="str">
        <f t="shared" si="5"/>
        <v/>
      </c>
      <c r="C337" s="14"/>
      <c r="D337" s="14"/>
      <c r="E337" s="14"/>
      <c r="F337" s="16"/>
      <c r="G337" s="14" t="s">
        <v>42</v>
      </c>
      <c r="H337" s="14" t="s">
        <v>43</v>
      </c>
      <c r="I337" s="14" t="s">
        <v>36</v>
      </c>
      <c r="J337" s="14"/>
    </row>
    <row r="338" spans="1:10" x14ac:dyDescent="0.3">
      <c r="A338" s="13"/>
      <c r="B338" s="14" t="str">
        <f t="shared" si="5"/>
        <v/>
      </c>
      <c r="C338" s="14"/>
      <c r="D338" s="14"/>
      <c r="E338" s="14"/>
      <c r="F338" s="16"/>
      <c r="G338" s="14" t="s">
        <v>42</v>
      </c>
      <c r="H338" s="14" t="s">
        <v>43</v>
      </c>
      <c r="I338" s="14" t="s">
        <v>36</v>
      </c>
      <c r="J338" s="14"/>
    </row>
    <row r="339" spans="1:10" x14ac:dyDescent="0.3">
      <c r="A339" s="13"/>
      <c r="B339" s="14" t="str">
        <f t="shared" si="5"/>
        <v/>
      </c>
      <c r="C339" s="14"/>
      <c r="D339" s="14"/>
      <c r="E339" s="14"/>
      <c r="F339" s="16"/>
      <c r="G339" s="14" t="s">
        <v>42</v>
      </c>
      <c r="H339" s="14" t="s">
        <v>43</v>
      </c>
      <c r="I339" s="14" t="s">
        <v>36</v>
      </c>
      <c r="J339" s="14"/>
    </row>
    <row r="340" spans="1:10" x14ac:dyDescent="0.3">
      <c r="A340" s="13"/>
      <c r="B340" s="14" t="str">
        <f t="shared" si="5"/>
        <v/>
      </c>
      <c r="C340" s="14"/>
      <c r="D340" s="14"/>
      <c r="E340" s="14"/>
      <c r="F340" s="16"/>
      <c r="G340" s="14" t="s">
        <v>42</v>
      </c>
      <c r="H340" s="14" t="s">
        <v>43</v>
      </c>
      <c r="I340" s="14" t="s">
        <v>36</v>
      </c>
      <c r="J340" s="14"/>
    </row>
    <row r="341" spans="1:10" x14ac:dyDescent="0.3">
      <c r="A341" s="13"/>
      <c r="B341" s="14" t="str">
        <f t="shared" si="5"/>
        <v/>
      </c>
      <c r="C341" s="14"/>
      <c r="D341" s="14"/>
      <c r="E341" s="14"/>
      <c r="F341" s="16"/>
      <c r="G341" s="14" t="s">
        <v>42</v>
      </c>
      <c r="H341" s="14" t="s">
        <v>43</v>
      </c>
      <c r="I341" s="14" t="s">
        <v>36</v>
      </c>
      <c r="J341" s="14"/>
    </row>
    <row r="342" spans="1:10" x14ac:dyDescent="0.3">
      <c r="A342" s="13"/>
      <c r="B342" s="14" t="str">
        <f t="shared" si="5"/>
        <v/>
      </c>
      <c r="C342" s="14"/>
      <c r="D342" s="14"/>
      <c r="E342" s="14"/>
      <c r="F342" s="16"/>
      <c r="G342" s="14" t="s">
        <v>42</v>
      </c>
      <c r="H342" s="14" t="s">
        <v>43</v>
      </c>
      <c r="I342" s="14" t="s">
        <v>36</v>
      </c>
      <c r="J342" s="14"/>
    </row>
    <row r="343" spans="1:10" x14ac:dyDescent="0.3">
      <c r="A343" s="13"/>
      <c r="B343" s="14" t="str">
        <f t="shared" si="5"/>
        <v/>
      </c>
      <c r="C343" s="14"/>
      <c r="D343" s="14"/>
      <c r="E343" s="14"/>
      <c r="F343" s="16"/>
      <c r="G343" s="14" t="s">
        <v>42</v>
      </c>
      <c r="H343" s="14" t="s">
        <v>43</v>
      </c>
      <c r="I343" s="14" t="s">
        <v>36</v>
      </c>
      <c r="J343" s="14"/>
    </row>
    <row r="344" spans="1:10" x14ac:dyDescent="0.3">
      <c r="A344" s="13"/>
      <c r="B344" s="14" t="str">
        <f t="shared" si="5"/>
        <v/>
      </c>
      <c r="C344" s="14"/>
      <c r="D344" s="14"/>
      <c r="E344" s="14"/>
      <c r="F344" s="16"/>
      <c r="G344" s="14" t="s">
        <v>42</v>
      </c>
      <c r="H344" s="14" t="s">
        <v>43</v>
      </c>
      <c r="I344" s="14" t="s">
        <v>36</v>
      </c>
      <c r="J344" s="14"/>
    </row>
    <row r="345" spans="1:10" x14ac:dyDescent="0.3">
      <c r="A345" s="13"/>
      <c r="B345" s="14" t="str">
        <f t="shared" si="5"/>
        <v/>
      </c>
      <c r="C345" s="14"/>
      <c r="D345" s="14"/>
      <c r="E345" s="14"/>
      <c r="F345" s="16"/>
      <c r="G345" s="14" t="s">
        <v>42</v>
      </c>
      <c r="H345" s="14" t="s">
        <v>43</v>
      </c>
      <c r="I345" s="14" t="s">
        <v>36</v>
      </c>
      <c r="J345" s="14"/>
    </row>
    <row r="346" spans="1:10" x14ac:dyDescent="0.3">
      <c r="A346" s="13"/>
      <c r="B346" s="14" t="str">
        <f t="shared" si="5"/>
        <v/>
      </c>
      <c r="C346" s="14"/>
      <c r="D346" s="14"/>
      <c r="E346" s="14"/>
      <c r="F346" s="16"/>
      <c r="G346" s="14" t="s">
        <v>42</v>
      </c>
      <c r="H346" s="14" t="s">
        <v>43</v>
      </c>
      <c r="I346" s="14" t="s">
        <v>36</v>
      </c>
      <c r="J346" s="14"/>
    </row>
    <row r="347" spans="1:10" x14ac:dyDescent="0.3">
      <c r="A347" s="13"/>
      <c r="B347" s="14" t="str">
        <f t="shared" si="5"/>
        <v/>
      </c>
      <c r="C347" s="14"/>
      <c r="D347" s="14"/>
      <c r="E347" s="14"/>
      <c r="F347" s="16"/>
      <c r="G347" s="14" t="s">
        <v>42</v>
      </c>
      <c r="H347" s="14" t="s">
        <v>43</v>
      </c>
      <c r="I347" s="14" t="s">
        <v>36</v>
      </c>
      <c r="J347" s="14"/>
    </row>
    <row r="348" spans="1:10" x14ac:dyDescent="0.3">
      <c r="A348" s="13"/>
      <c r="B348" s="14" t="str">
        <f t="shared" si="5"/>
        <v/>
      </c>
      <c r="C348" s="14"/>
      <c r="D348" s="14"/>
      <c r="E348" s="14"/>
      <c r="F348" s="16"/>
      <c r="G348" s="14" t="s">
        <v>42</v>
      </c>
      <c r="H348" s="14" t="s">
        <v>43</v>
      </c>
      <c r="I348" s="14" t="s">
        <v>36</v>
      </c>
      <c r="J348" s="14"/>
    </row>
    <row r="349" spans="1:10" x14ac:dyDescent="0.3">
      <c r="A349" s="13"/>
      <c r="B349" s="14" t="str">
        <f t="shared" si="5"/>
        <v/>
      </c>
      <c r="C349" s="14"/>
      <c r="D349" s="14"/>
      <c r="E349" s="14"/>
      <c r="F349" s="16"/>
      <c r="G349" s="14" t="s">
        <v>42</v>
      </c>
      <c r="H349" s="14" t="s">
        <v>43</v>
      </c>
      <c r="I349" s="14" t="s">
        <v>36</v>
      </c>
      <c r="J349" s="14"/>
    </row>
    <row r="350" spans="1:10" x14ac:dyDescent="0.3">
      <c r="A350" s="13"/>
      <c r="B350" s="14" t="str">
        <f t="shared" si="5"/>
        <v/>
      </c>
      <c r="C350" s="14"/>
      <c r="D350" s="14"/>
      <c r="E350" s="14"/>
      <c r="F350" s="16"/>
      <c r="G350" s="14" t="s">
        <v>42</v>
      </c>
      <c r="H350" s="14" t="s">
        <v>43</v>
      </c>
      <c r="I350" s="14" t="s">
        <v>36</v>
      </c>
      <c r="J350" s="14"/>
    </row>
    <row r="351" spans="1:10" x14ac:dyDescent="0.3">
      <c r="A351" s="13"/>
      <c r="B351" s="14" t="str">
        <f t="shared" si="5"/>
        <v/>
      </c>
      <c r="C351" s="14"/>
      <c r="D351" s="14"/>
      <c r="E351" s="14"/>
      <c r="F351" s="16"/>
      <c r="G351" s="14" t="s">
        <v>42</v>
      </c>
      <c r="H351" s="14" t="s">
        <v>43</v>
      </c>
      <c r="I351" s="14" t="s">
        <v>36</v>
      </c>
      <c r="J351" s="14"/>
    </row>
    <row r="352" spans="1:10" x14ac:dyDescent="0.3">
      <c r="A352" s="13"/>
      <c r="B352" s="14" t="str">
        <f t="shared" si="5"/>
        <v/>
      </c>
      <c r="C352" s="14"/>
      <c r="D352" s="14"/>
      <c r="E352" s="14"/>
      <c r="F352" s="16"/>
      <c r="G352" s="14" t="s">
        <v>42</v>
      </c>
      <c r="H352" s="14" t="s">
        <v>43</v>
      </c>
      <c r="I352" s="14" t="s">
        <v>36</v>
      </c>
      <c r="J352" s="14"/>
    </row>
    <row r="353" spans="1:10" x14ac:dyDescent="0.3">
      <c r="A353" s="13"/>
      <c r="B353" s="14" t="str">
        <f t="shared" si="5"/>
        <v/>
      </c>
      <c r="C353" s="14"/>
      <c r="D353" s="14"/>
      <c r="E353" s="14"/>
      <c r="F353" s="16"/>
      <c r="G353" s="14" t="s">
        <v>42</v>
      </c>
      <c r="H353" s="14" t="s">
        <v>43</v>
      </c>
      <c r="I353" s="14" t="s">
        <v>36</v>
      </c>
      <c r="J353" s="14"/>
    </row>
    <row r="354" spans="1:10" x14ac:dyDescent="0.3">
      <c r="A354" s="13"/>
      <c r="B354" s="14" t="str">
        <f t="shared" si="5"/>
        <v/>
      </c>
      <c r="C354" s="14"/>
      <c r="D354" s="14"/>
      <c r="E354" s="14"/>
      <c r="F354" s="16"/>
      <c r="G354" s="14" t="s">
        <v>42</v>
      </c>
      <c r="H354" s="14" t="s">
        <v>43</v>
      </c>
      <c r="I354" s="14" t="s">
        <v>36</v>
      </c>
      <c r="J354" s="14"/>
    </row>
    <row r="355" spans="1:10" x14ac:dyDescent="0.3">
      <c r="A355" s="13"/>
      <c r="B355" s="14" t="str">
        <f t="shared" si="5"/>
        <v/>
      </c>
      <c r="C355" s="14"/>
      <c r="D355" s="14"/>
      <c r="E355" s="14"/>
      <c r="F355" s="16"/>
      <c r="G355" s="14" t="s">
        <v>42</v>
      </c>
      <c r="H355" s="14" t="s">
        <v>43</v>
      </c>
      <c r="I355" s="14" t="s">
        <v>36</v>
      </c>
      <c r="J355" s="14"/>
    </row>
    <row r="356" spans="1:10" x14ac:dyDescent="0.3">
      <c r="A356" s="13"/>
      <c r="B356" s="14" t="str">
        <f t="shared" si="5"/>
        <v/>
      </c>
      <c r="C356" s="14"/>
      <c r="D356" s="14"/>
      <c r="E356" s="14"/>
      <c r="F356" s="16"/>
      <c r="G356" s="14" t="s">
        <v>42</v>
      </c>
      <c r="H356" s="14" t="s">
        <v>43</v>
      </c>
      <c r="I356" s="14" t="s">
        <v>36</v>
      </c>
      <c r="J356" s="14"/>
    </row>
    <row r="357" spans="1:10" x14ac:dyDescent="0.3">
      <c r="A357" s="13"/>
      <c r="B357" s="14" t="str">
        <f t="shared" si="5"/>
        <v/>
      </c>
      <c r="C357" s="14"/>
      <c r="D357" s="14"/>
      <c r="E357" s="14"/>
      <c r="F357" s="16"/>
      <c r="G357" s="14" t="s">
        <v>42</v>
      </c>
      <c r="H357" s="14" t="s">
        <v>43</v>
      </c>
      <c r="I357" s="14" t="s">
        <v>36</v>
      </c>
      <c r="J357" s="14"/>
    </row>
    <row r="358" spans="1:10" x14ac:dyDescent="0.3">
      <c r="A358" s="13"/>
      <c r="B358" s="14" t="str">
        <f t="shared" si="5"/>
        <v/>
      </c>
      <c r="C358" s="14"/>
      <c r="D358" s="14"/>
      <c r="E358" s="14"/>
      <c r="F358" s="16"/>
      <c r="G358" s="14" t="s">
        <v>42</v>
      </c>
      <c r="H358" s="14" t="s">
        <v>43</v>
      </c>
      <c r="I358" s="14" t="s">
        <v>36</v>
      </c>
      <c r="J358" s="14"/>
    </row>
    <row r="359" spans="1:10" x14ac:dyDescent="0.3">
      <c r="A359" s="13"/>
      <c r="B359" s="14" t="str">
        <f t="shared" si="5"/>
        <v/>
      </c>
      <c r="C359" s="14"/>
      <c r="D359" s="14"/>
      <c r="E359" s="14"/>
      <c r="F359" s="16"/>
      <c r="G359" s="14" t="s">
        <v>42</v>
      </c>
      <c r="H359" s="14" t="s">
        <v>43</v>
      </c>
      <c r="I359" s="14" t="s">
        <v>36</v>
      </c>
      <c r="J359" s="14"/>
    </row>
    <row r="360" spans="1:10" x14ac:dyDescent="0.3">
      <c r="A360" s="13"/>
      <c r="B360" s="14" t="str">
        <f t="shared" si="5"/>
        <v/>
      </c>
      <c r="C360" s="14"/>
      <c r="D360" s="14"/>
      <c r="E360" s="14"/>
      <c r="F360" s="16"/>
      <c r="G360" s="14" t="s">
        <v>42</v>
      </c>
      <c r="H360" s="14" t="s">
        <v>43</v>
      </c>
      <c r="I360" s="14" t="s">
        <v>36</v>
      </c>
      <c r="J360" s="14"/>
    </row>
    <row r="361" spans="1:10" x14ac:dyDescent="0.3">
      <c r="A361" s="13"/>
      <c r="B361" s="14" t="str">
        <f t="shared" si="5"/>
        <v/>
      </c>
      <c r="C361" s="14"/>
      <c r="D361" s="14"/>
      <c r="E361" s="14"/>
      <c r="F361" s="16"/>
      <c r="G361" s="14" t="s">
        <v>42</v>
      </c>
      <c r="H361" s="14" t="s">
        <v>43</v>
      </c>
      <c r="I361" s="14" t="s">
        <v>36</v>
      </c>
      <c r="J361" s="14"/>
    </row>
    <row r="362" spans="1:10" x14ac:dyDescent="0.3">
      <c r="A362" s="13"/>
      <c r="B362" s="14" t="str">
        <f t="shared" si="5"/>
        <v/>
      </c>
      <c r="C362" s="14"/>
      <c r="D362" s="14"/>
      <c r="E362" s="14"/>
      <c r="F362" s="16"/>
      <c r="G362" s="14" t="s">
        <v>42</v>
      </c>
      <c r="H362" s="14" t="s">
        <v>43</v>
      </c>
      <c r="I362" s="14" t="s">
        <v>36</v>
      </c>
      <c r="J362" s="14"/>
    </row>
    <row r="363" spans="1:10" x14ac:dyDescent="0.3">
      <c r="A363" s="13"/>
      <c r="B363" s="14" t="str">
        <f t="shared" si="5"/>
        <v/>
      </c>
      <c r="C363" s="14"/>
      <c r="D363" s="14"/>
      <c r="E363" s="14"/>
      <c r="F363" s="16"/>
      <c r="G363" s="14" t="s">
        <v>42</v>
      </c>
      <c r="H363" s="14" t="s">
        <v>43</v>
      </c>
      <c r="I363" s="14" t="s">
        <v>36</v>
      </c>
      <c r="J363" s="14"/>
    </row>
    <row r="364" spans="1:10" x14ac:dyDescent="0.3">
      <c r="A364" s="13"/>
      <c r="B364" s="14" t="str">
        <f t="shared" si="5"/>
        <v/>
      </c>
      <c r="C364" s="14"/>
      <c r="D364" s="14"/>
      <c r="E364" s="14"/>
      <c r="F364" s="16"/>
      <c r="G364" s="14" t="s">
        <v>42</v>
      </c>
      <c r="H364" s="14" t="s">
        <v>43</v>
      </c>
      <c r="I364" s="14" t="s">
        <v>36</v>
      </c>
      <c r="J364" s="14"/>
    </row>
    <row r="365" spans="1:10" x14ac:dyDescent="0.3">
      <c r="A365" s="13"/>
      <c r="B365" s="14" t="str">
        <f t="shared" si="5"/>
        <v/>
      </c>
      <c r="C365" s="14"/>
      <c r="D365" s="14"/>
      <c r="E365" s="14"/>
      <c r="F365" s="16"/>
      <c r="G365" s="14" t="s">
        <v>42</v>
      </c>
      <c r="H365" s="14" t="s">
        <v>43</v>
      </c>
      <c r="I365" s="14" t="s">
        <v>36</v>
      </c>
      <c r="J365" s="14"/>
    </row>
    <row r="366" spans="1:10" x14ac:dyDescent="0.3">
      <c r="A366" s="13"/>
      <c r="B366" s="14" t="str">
        <f t="shared" si="5"/>
        <v/>
      </c>
      <c r="C366" s="14"/>
      <c r="D366" s="14"/>
      <c r="E366" s="14"/>
      <c r="F366" s="16"/>
      <c r="G366" s="14" t="s">
        <v>42</v>
      </c>
      <c r="H366" s="14" t="s">
        <v>43</v>
      </c>
      <c r="I366" s="14" t="s">
        <v>36</v>
      </c>
      <c r="J366" s="14"/>
    </row>
    <row r="367" spans="1:10" x14ac:dyDescent="0.3">
      <c r="A367" s="13"/>
      <c r="B367" s="14" t="str">
        <f t="shared" si="5"/>
        <v/>
      </c>
      <c r="C367" s="14"/>
      <c r="D367" s="14"/>
      <c r="E367" s="14"/>
      <c r="F367" s="16"/>
      <c r="G367" s="14" t="s">
        <v>42</v>
      </c>
      <c r="H367" s="14" t="s">
        <v>43</v>
      </c>
      <c r="I367" s="14" t="s">
        <v>36</v>
      </c>
      <c r="J367" s="14"/>
    </row>
    <row r="368" spans="1:10" x14ac:dyDescent="0.3">
      <c r="A368" s="13"/>
      <c r="B368" s="14" t="str">
        <f t="shared" si="5"/>
        <v/>
      </c>
      <c r="C368" s="14"/>
      <c r="D368" s="14"/>
      <c r="E368" s="14"/>
      <c r="F368" s="16"/>
      <c r="G368" s="14" t="s">
        <v>42</v>
      </c>
      <c r="H368" s="14" t="s">
        <v>43</v>
      </c>
      <c r="I368" s="14" t="s">
        <v>36</v>
      </c>
      <c r="J368" s="14"/>
    </row>
    <row r="369" spans="1:10" x14ac:dyDescent="0.3">
      <c r="A369" s="13"/>
      <c r="B369" s="14" t="str">
        <f t="shared" si="5"/>
        <v/>
      </c>
      <c r="C369" s="14"/>
      <c r="D369" s="14"/>
      <c r="E369" s="14"/>
      <c r="F369" s="16"/>
      <c r="G369" s="14" t="s">
        <v>42</v>
      </c>
      <c r="H369" s="14" t="s">
        <v>43</v>
      </c>
      <c r="I369" s="14" t="s">
        <v>36</v>
      </c>
      <c r="J369" s="14"/>
    </row>
    <row r="370" spans="1:10" x14ac:dyDescent="0.3">
      <c r="A370" s="13"/>
      <c r="B370" s="14" t="str">
        <f t="shared" si="5"/>
        <v/>
      </c>
      <c r="C370" s="14"/>
      <c r="D370" s="14"/>
      <c r="E370" s="14"/>
      <c r="F370" s="16"/>
      <c r="G370" s="14" t="s">
        <v>42</v>
      </c>
      <c r="H370" s="14" t="s">
        <v>43</v>
      </c>
      <c r="I370" s="14" t="s">
        <v>36</v>
      </c>
      <c r="J370" s="14"/>
    </row>
    <row r="371" spans="1:10" x14ac:dyDescent="0.3">
      <c r="A371" s="13"/>
      <c r="B371" s="14" t="str">
        <f t="shared" si="5"/>
        <v/>
      </c>
      <c r="C371" s="14"/>
      <c r="D371" s="14"/>
      <c r="E371" s="14"/>
      <c r="F371" s="16"/>
      <c r="G371" s="14" t="s">
        <v>42</v>
      </c>
      <c r="H371" s="14" t="s">
        <v>43</v>
      </c>
      <c r="I371" s="14" t="s">
        <v>36</v>
      </c>
      <c r="J371" s="14"/>
    </row>
    <row r="372" spans="1:10" x14ac:dyDescent="0.3">
      <c r="A372" s="13"/>
      <c r="B372" s="14" t="str">
        <f t="shared" si="5"/>
        <v/>
      </c>
      <c r="C372" s="14"/>
      <c r="D372" s="14"/>
      <c r="E372" s="14"/>
      <c r="F372" s="16"/>
      <c r="G372" s="14" t="s">
        <v>42</v>
      </c>
      <c r="H372" s="14" t="s">
        <v>43</v>
      </c>
      <c r="I372" s="14" t="s">
        <v>36</v>
      </c>
      <c r="J372" s="14"/>
    </row>
    <row r="373" spans="1:10" x14ac:dyDescent="0.3">
      <c r="A373" s="13"/>
      <c r="B373" s="14" t="str">
        <f t="shared" si="5"/>
        <v/>
      </c>
      <c r="C373" s="14"/>
      <c r="D373" s="14"/>
      <c r="E373" s="14"/>
      <c r="F373" s="16"/>
      <c r="G373" s="14" t="s">
        <v>42</v>
      </c>
      <c r="H373" s="14" t="s">
        <v>43</v>
      </c>
      <c r="I373" s="14" t="s">
        <v>36</v>
      </c>
      <c r="J373" s="14"/>
    </row>
    <row r="374" spans="1:10" x14ac:dyDescent="0.3">
      <c r="A374" s="13"/>
      <c r="B374" s="14" t="str">
        <f t="shared" si="5"/>
        <v/>
      </c>
      <c r="C374" s="14"/>
      <c r="D374" s="14"/>
      <c r="E374" s="14"/>
      <c r="F374" s="16"/>
      <c r="G374" s="14" t="s">
        <v>42</v>
      </c>
      <c r="H374" s="14" t="s">
        <v>43</v>
      </c>
      <c r="I374" s="14" t="s">
        <v>36</v>
      </c>
      <c r="J374" s="14"/>
    </row>
    <row r="375" spans="1:10" x14ac:dyDescent="0.3">
      <c r="A375" s="13"/>
      <c r="B375" s="14" t="str">
        <f t="shared" si="5"/>
        <v/>
      </c>
      <c r="C375" s="14"/>
      <c r="D375" s="14"/>
      <c r="E375" s="14"/>
      <c r="F375" s="16"/>
      <c r="G375" s="14" t="s">
        <v>42</v>
      </c>
      <c r="H375" s="14" t="s">
        <v>43</v>
      </c>
      <c r="I375" s="14" t="s">
        <v>36</v>
      </c>
      <c r="J375" s="14"/>
    </row>
    <row r="376" spans="1:10" x14ac:dyDescent="0.3">
      <c r="A376" s="13"/>
      <c r="B376" s="14" t="str">
        <f t="shared" si="5"/>
        <v/>
      </c>
      <c r="C376" s="14"/>
      <c r="D376" s="14"/>
      <c r="E376" s="14"/>
      <c r="F376" s="16"/>
      <c r="G376" s="14" t="s">
        <v>42</v>
      </c>
      <c r="H376" s="14" t="s">
        <v>43</v>
      </c>
      <c r="I376" s="14" t="s">
        <v>36</v>
      </c>
      <c r="J376" s="14"/>
    </row>
    <row r="377" spans="1:10" x14ac:dyDescent="0.3">
      <c r="A377" s="13"/>
      <c r="B377" s="14" t="str">
        <f t="shared" si="5"/>
        <v/>
      </c>
      <c r="C377" s="14"/>
      <c r="D377" s="14"/>
      <c r="E377" s="14"/>
      <c r="F377" s="16"/>
      <c r="G377" s="14" t="s">
        <v>42</v>
      </c>
      <c r="H377" s="14" t="s">
        <v>43</v>
      </c>
      <c r="I377" s="14" t="s">
        <v>36</v>
      </c>
      <c r="J377" s="14"/>
    </row>
    <row r="378" spans="1:10" x14ac:dyDescent="0.3">
      <c r="A378" s="13"/>
      <c r="B378" s="14" t="str">
        <f t="shared" si="5"/>
        <v/>
      </c>
      <c r="C378" s="14"/>
      <c r="D378" s="14"/>
      <c r="E378" s="14"/>
      <c r="F378" s="16"/>
      <c r="G378" s="14" t="s">
        <v>42</v>
      </c>
      <c r="H378" s="14" t="s">
        <v>43</v>
      </c>
      <c r="I378" s="14" t="s">
        <v>36</v>
      </c>
      <c r="J378" s="14"/>
    </row>
    <row r="379" spans="1:10" x14ac:dyDescent="0.3">
      <c r="A379" s="13"/>
      <c r="B379" s="14" t="str">
        <f t="shared" si="5"/>
        <v/>
      </c>
      <c r="C379" s="14"/>
      <c r="D379" s="14"/>
      <c r="E379" s="14"/>
      <c r="F379" s="16"/>
      <c r="G379" s="14" t="s">
        <v>42</v>
      </c>
      <c r="H379" s="14" t="s">
        <v>43</v>
      </c>
      <c r="I379" s="14" t="s">
        <v>36</v>
      </c>
      <c r="J379" s="14"/>
    </row>
    <row r="380" spans="1:10" x14ac:dyDescent="0.3">
      <c r="A380" s="13"/>
      <c r="B380" s="14" t="str">
        <f t="shared" si="5"/>
        <v/>
      </c>
      <c r="C380" s="14"/>
      <c r="D380" s="14"/>
      <c r="E380" s="14"/>
      <c r="F380" s="16"/>
      <c r="G380" s="14" t="s">
        <v>42</v>
      </c>
      <c r="H380" s="14" t="s">
        <v>43</v>
      </c>
      <c r="I380" s="14" t="s">
        <v>36</v>
      </c>
      <c r="J380" s="14"/>
    </row>
    <row r="381" spans="1:10" x14ac:dyDescent="0.3">
      <c r="A381" s="13"/>
      <c r="B381" s="14"/>
      <c r="C381" s="14"/>
      <c r="D381" s="14"/>
      <c r="E381" s="14"/>
      <c r="F381" s="16"/>
      <c r="G381" s="14" t="s">
        <v>42</v>
      </c>
      <c r="H381" s="14" t="s">
        <v>43</v>
      </c>
      <c r="I381" s="14" t="s">
        <v>36</v>
      </c>
      <c r="J381" s="14"/>
    </row>
    <row r="382" spans="1:10" x14ac:dyDescent="0.3">
      <c r="A382" s="13"/>
      <c r="B382" s="14" t="str">
        <f t="shared" si="5"/>
        <v/>
      </c>
      <c r="C382" s="14"/>
      <c r="D382" s="14"/>
      <c r="E382" s="14"/>
      <c r="F382" s="16"/>
      <c r="G382" s="14" t="s">
        <v>42</v>
      </c>
      <c r="H382" s="14" t="s">
        <v>43</v>
      </c>
      <c r="I382" s="14" t="s">
        <v>36</v>
      </c>
      <c r="J382" s="14"/>
    </row>
    <row r="383" spans="1:10" x14ac:dyDescent="0.3">
      <c r="A383" s="13"/>
      <c r="B383" s="14" t="str">
        <f t="shared" si="5"/>
        <v/>
      </c>
      <c r="C383" s="14"/>
      <c r="D383" s="14"/>
      <c r="E383" s="14"/>
      <c r="F383" s="16"/>
      <c r="G383" s="14" t="s">
        <v>42</v>
      </c>
      <c r="H383" s="14" t="s">
        <v>43</v>
      </c>
      <c r="I383" s="14" t="s">
        <v>36</v>
      </c>
      <c r="J383" s="14"/>
    </row>
    <row r="384" spans="1:10" x14ac:dyDescent="0.3">
      <c r="A384" s="13"/>
      <c r="B384" s="14" t="str">
        <f t="shared" si="5"/>
        <v/>
      </c>
      <c r="C384" s="14"/>
      <c r="D384" s="14"/>
      <c r="E384" s="14"/>
      <c r="F384" s="16"/>
      <c r="G384" s="14" t="s">
        <v>42</v>
      </c>
      <c r="H384" s="14" t="s">
        <v>43</v>
      </c>
      <c r="I384" s="14" t="s">
        <v>36</v>
      </c>
      <c r="J384" s="14"/>
    </row>
    <row r="385" spans="1:10" x14ac:dyDescent="0.3">
      <c r="A385" s="13"/>
      <c r="B385" s="14" t="str">
        <f t="shared" si="5"/>
        <v/>
      </c>
      <c r="C385" s="14"/>
      <c r="D385" s="14"/>
      <c r="E385" s="14"/>
      <c r="F385" s="16"/>
      <c r="G385" s="14" t="s">
        <v>42</v>
      </c>
      <c r="H385" s="14" t="s">
        <v>43</v>
      </c>
      <c r="I385" s="14" t="s">
        <v>36</v>
      </c>
      <c r="J385" s="14"/>
    </row>
    <row r="386" spans="1:10" x14ac:dyDescent="0.3">
      <c r="A386" s="13"/>
      <c r="B386" s="14" t="str">
        <f t="shared" ref="B386:B401" si="6">IF(A386="","", "G"&amp;TEXT(A386,"yymmdd")&amp;"-"&amp;TEXT(ROW()-1,"0000"))</f>
        <v/>
      </c>
      <c r="C386" s="14"/>
      <c r="D386" s="14"/>
      <c r="E386" s="14"/>
      <c r="F386" s="16"/>
      <c r="G386" s="14" t="s">
        <v>42</v>
      </c>
      <c r="H386" s="14" t="s">
        <v>43</v>
      </c>
      <c r="I386" s="14" t="s">
        <v>36</v>
      </c>
      <c r="J386" s="14"/>
    </row>
    <row r="387" spans="1:10" x14ac:dyDescent="0.3">
      <c r="A387" s="13"/>
      <c r="B387" s="14" t="str">
        <f t="shared" si="6"/>
        <v/>
      </c>
      <c r="C387" s="14"/>
      <c r="D387" s="14"/>
      <c r="E387" s="14"/>
      <c r="F387" s="16"/>
      <c r="G387" s="14" t="s">
        <v>42</v>
      </c>
      <c r="H387" s="14" t="s">
        <v>43</v>
      </c>
      <c r="I387" s="14" t="s">
        <v>36</v>
      </c>
      <c r="J387" s="14"/>
    </row>
    <row r="388" spans="1:10" x14ac:dyDescent="0.3">
      <c r="A388" s="13"/>
      <c r="B388" s="14" t="str">
        <f t="shared" si="6"/>
        <v/>
      </c>
      <c r="C388" s="14"/>
      <c r="D388" s="14"/>
      <c r="E388" s="14"/>
      <c r="F388" s="16"/>
      <c r="G388" s="14" t="s">
        <v>42</v>
      </c>
      <c r="H388" s="14" t="s">
        <v>43</v>
      </c>
      <c r="I388" s="14" t="s">
        <v>36</v>
      </c>
      <c r="J388" s="14"/>
    </row>
    <row r="389" spans="1:10" x14ac:dyDescent="0.3">
      <c r="A389" s="13"/>
      <c r="B389" s="14" t="str">
        <f t="shared" si="6"/>
        <v/>
      </c>
      <c r="C389" s="14"/>
      <c r="D389" s="14"/>
      <c r="E389" s="14"/>
      <c r="F389" s="16"/>
      <c r="G389" s="14" t="s">
        <v>42</v>
      </c>
      <c r="H389" s="14" t="s">
        <v>43</v>
      </c>
      <c r="I389" s="14" t="s">
        <v>36</v>
      </c>
      <c r="J389" s="14"/>
    </row>
    <row r="390" spans="1:10" x14ac:dyDescent="0.3">
      <c r="A390" s="13"/>
      <c r="B390" s="14" t="str">
        <f t="shared" si="6"/>
        <v/>
      </c>
      <c r="C390" s="14"/>
      <c r="D390" s="14"/>
      <c r="E390" s="14"/>
      <c r="F390" s="16"/>
      <c r="G390" s="14" t="s">
        <v>42</v>
      </c>
      <c r="H390" s="14" t="s">
        <v>43</v>
      </c>
      <c r="I390" s="14" t="s">
        <v>36</v>
      </c>
      <c r="J390" s="14"/>
    </row>
    <row r="391" spans="1:10" x14ac:dyDescent="0.3">
      <c r="A391" s="13"/>
      <c r="B391" s="14" t="str">
        <f t="shared" si="6"/>
        <v/>
      </c>
      <c r="C391" s="14"/>
      <c r="D391" s="14"/>
      <c r="E391" s="14"/>
      <c r="F391" s="16"/>
      <c r="G391" s="14" t="s">
        <v>42</v>
      </c>
      <c r="H391" s="14" t="s">
        <v>43</v>
      </c>
      <c r="I391" s="14" t="s">
        <v>36</v>
      </c>
      <c r="J391" s="14"/>
    </row>
    <row r="392" spans="1:10" x14ac:dyDescent="0.3">
      <c r="A392" s="13"/>
      <c r="B392" s="14" t="str">
        <f t="shared" si="6"/>
        <v/>
      </c>
      <c r="C392" s="14"/>
      <c r="D392" s="14"/>
      <c r="E392" s="14"/>
      <c r="F392" s="16"/>
      <c r="G392" s="14" t="s">
        <v>42</v>
      </c>
      <c r="H392" s="14" t="s">
        <v>43</v>
      </c>
      <c r="I392" s="14" t="s">
        <v>36</v>
      </c>
      <c r="J392" s="14"/>
    </row>
    <row r="393" spans="1:10" x14ac:dyDescent="0.3">
      <c r="A393" s="13"/>
      <c r="B393" s="14" t="str">
        <f t="shared" si="6"/>
        <v/>
      </c>
      <c r="C393" s="14"/>
      <c r="D393" s="14"/>
      <c r="E393" s="14"/>
      <c r="F393" s="16"/>
      <c r="G393" s="14" t="s">
        <v>42</v>
      </c>
      <c r="H393" s="14" t="s">
        <v>43</v>
      </c>
      <c r="I393" s="14" t="s">
        <v>36</v>
      </c>
      <c r="J393" s="14"/>
    </row>
    <row r="394" spans="1:10" x14ac:dyDescent="0.3">
      <c r="A394" s="13"/>
      <c r="B394" s="14" t="str">
        <f t="shared" si="6"/>
        <v/>
      </c>
      <c r="C394" s="14"/>
      <c r="D394" s="14"/>
      <c r="E394" s="14"/>
      <c r="F394" s="16"/>
      <c r="G394" s="14" t="s">
        <v>42</v>
      </c>
      <c r="H394" s="14" t="s">
        <v>43</v>
      </c>
      <c r="I394" s="14" t="s">
        <v>36</v>
      </c>
      <c r="J394" s="14"/>
    </row>
    <row r="395" spans="1:10" x14ac:dyDescent="0.3">
      <c r="A395" s="13"/>
      <c r="B395" s="14" t="str">
        <f t="shared" si="6"/>
        <v/>
      </c>
      <c r="C395" s="14"/>
      <c r="D395" s="14"/>
      <c r="E395" s="14"/>
      <c r="F395" s="16"/>
      <c r="G395" s="14" t="s">
        <v>42</v>
      </c>
      <c r="H395" s="14" t="s">
        <v>43</v>
      </c>
      <c r="I395" s="14" t="s">
        <v>36</v>
      </c>
      <c r="J395" s="14"/>
    </row>
    <row r="396" spans="1:10" x14ac:dyDescent="0.3">
      <c r="A396" s="13"/>
      <c r="B396" s="14" t="str">
        <f t="shared" si="6"/>
        <v/>
      </c>
      <c r="C396" s="14"/>
      <c r="D396" s="14"/>
      <c r="E396" s="14"/>
      <c r="F396" s="16"/>
      <c r="G396" s="14" t="s">
        <v>42</v>
      </c>
      <c r="H396" s="14" t="s">
        <v>43</v>
      </c>
      <c r="I396" s="14" t="s">
        <v>36</v>
      </c>
      <c r="J396" s="14"/>
    </row>
    <row r="397" spans="1:10" x14ac:dyDescent="0.3">
      <c r="A397" s="13"/>
      <c r="B397" s="14" t="str">
        <f t="shared" si="6"/>
        <v/>
      </c>
      <c r="C397" s="14"/>
      <c r="D397" s="14"/>
      <c r="E397" s="14"/>
      <c r="F397" s="16"/>
      <c r="G397" s="14" t="s">
        <v>42</v>
      </c>
      <c r="H397" s="14" t="s">
        <v>43</v>
      </c>
      <c r="I397" s="14" t="s">
        <v>36</v>
      </c>
      <c r="J397" s="14"/>
    </row>
    <row r="398" spans="1:10" x14ac:dyDescent="0.3">
      <c r="A398" s="13"/>
      <c r="B398" s="14" t="str">
        <f t="shared" si="6"/>
        <v/>
      </c>
      <c r="C398" s="14"/>
      <c r="D398" s="14"/>
      <c r="E398" s="14"/>
      <c r="F398" s="16"/>
      <c r="G398" s="14" t="s">
        <v>42</v>
      </c>
      <c r="H398" s="14" t="s">
        <v>43</v>
      </c>
      <c r="I398" s="14" t="s">
        <v>36</v>
      </c>
      <c r="J398" s="14"/>
    </row>
    <row r="399" spans="1:10" x14ac:dyDescent="0.3">
      <c r="A399" s="13"/>
      <c r="B399" s="14" t="str">
        <f t="shared" si="6"/>
        <v/>
      </c>
      <c r="C399" s="14"/>
      <c r="D399" s="14"/>
      <c r="E399" s="14"/>
      <c r="F399" s="16"/>
      <c r="G399" s="14" t="s">
        <v>42</v>
      </c>
      <c r="H399" s="14" t="s">
        <v>43</v>
      </c>
      <c r="I399" s="14" t="s">
        <v>36</v>
      </c>
      <c r="J399" s="14"/>
    </row>
    <row r="400" spans="1:10" x14ac:dyDescent="0.3">
      <c r="A400" s="13"/>
      <c r="B400" s="14" t="str">
        <f t="shared" si="6"/>
        <v/>
      </c>
      <c r="C400" s="14"/>
      <c r="D400" s="14"/>
      <c r="E400" s="14"/>
      <c r="F400" s="16"/>
      <c r="G400" s="14" t="s">
        <v>42</v>
      </c>
      <c r="H400" s="14" t="s">
        <v>43</v>
      </c>
      <c r="I400" s="14" t="s">
        <v>36</v>
      </c>
      <c r="J400" s="14"/>
    </row>
    <row r="401" spans="1:10" x14ac:dyDescent="0.3">
      <c r="A401" s="13"/>
      <c r="B401" s="14" t="str">
        <f t="shared" si="6"/>
        <v/>
      </c>
      <c r="C401" s="14"/>
      <c r="D401" s="14"/>
      <c r="E401" s="14"/>
      <c r="F401" s="16"/>
      <c r="G401" s="14" t="s">
        <v>42</v>
      </c>
      <c r="H401" s="14" t="s">
        <v>43</v>
      </c>
      <c r="I401" s="14" t="s">
        <v>36</v>
      </c>
      <c r="J401" s="14"/>
    </row>
  </sheetData>
  <dataValidations count="5">
    <dataValidation type="list" allowBlank="1" sqref="C2:C401" xr:uid="{00000000-0002-0000-0400-000000000000}">
      <formula1>lstProveedores</formula1>
    </dataValidation>
    <dataValidation type="list" allowBlank="1" sqref="D2:D401" xr:uid="{00000000-0002-0000-0400-000001000000}">
      <formula1>lstCategoriasGasto</formula1>
    </dataValidation>
    <dataValidation type="list" allowBlank="1" sqref="G2:G401" xr:uid="{00000000-0002-0000-0400-000002000000}">
      <formula1>lstMetodosPago</formula1>
    </dataValidation>
    <dataValidation type="list" allowBlank="1" sqref="H2:H401" xr:uid="{00000000-0002-0000-0400-000003000000}">
      <formula1>lstCuentas</formula1>
    </dataValidation>
    <dataValidation type="list" allowBlank="1" sqref="I2:I401" xr:uid="{00000000-0002-0000-0400-000004000000}">
      <formula1>lstEstado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1"/>
  <sheetViews>
    <sheetView showGridLines="0" workbookViewId="0">
      <pane ySplit="1" topLeftCell="A381" activePane="bottomLeft" state="frozen"/>
      <selection pane="bottomLeft" activeCell="J401" sqref="J401"/>
    </sheetView>
  </sheetViews>
  <sheetFormatPr baseColWidth="10" defaultRowHeight="14.4" x14ac:dyDescent="0.3"/>
  <cols>
    <col min="1" max="1" width="12" customWidth="1"/>
    <col min="2" max="2" width="14" customWidth="1"/>
    <col min="3" max="4" width="20" customWidth="1"/>
    <col min="5" max="5" width="28" customWidth="1"/>
    <col min="6" max="7" width="14" customWidth="1"/>
    <col min="8" max="9" width="12" customWidth="1"/>
    <col min="10" max="10" width="22" customWidth="1"/>
  </cols>
  <sheetData>
    <row r="1" spans="1:10" x14ac:dyDescent="0.3">
      <c r="A1" s="12" t="s">
        <v>13</v>
      </c>
      <c r="B1" s="12" t="s">
        <v>48</v>
      </c>
      <c r="C1" s="12" t="s">
        <v>49</v>
      </c>
      <c r="D1" s="12" t="s">
        <v>50</v>
      </c>
      <c r="E1" s="12" t="s">
        <v>46</v>
      </c>
      <c r="F1" s="12" t="s">
        <v>47</v>
      </c>
      <c r="G1" s="12" t="s">
        <v>27</v>
      </c>
      <c r="H1" s="12" t="s">
        <v>28</v>
      </c>
      <c r="I1" s="12" t="s">
        <v>29</v>
      </c>
      <c r="J1" s="12" t="s">
        <v>30</v>
      </c>
    </row>
    <row r="2" spans="1:10" x14ac:dyDescent="0.3">
      <c r="A2" s="13"/>
      <c r="B2" s="14" t="str">
        <f t="shared" ref="B2:B65" si="0">IF(A2="","", "I"&amp;TEXT(A2,"yymmdd")&amp;"-"&amp;TEXT(ROW()-1,"0000"))</f>
        <v/>
      </c>
      <c r="C2" s="14"/>
      <c r="D2" s="14"/>
      <c r="E2" s="14"/>
      <c r="F2" s="16"/>
      <c r="G2" s="14" t="s">
        <v>34</v>
      </c>
      <c r="H2" s="14" t="s">
        <v>35</v>
      </c>
      <c r="I2" s="14" t="s">
        <v>36</v>
      </c>
      <c r="J2" s="14"/>
    </row>
    <row r="3" spans="1:10" x14ac:dyDescent="0.3">
      <c r="A3" s="13"/>
      <c r="B3" s="14" t="str">
        <f t="shared" si="0"/>
        <v/>
      </c>
      <c r="C3" s="14"/>
      <c r="D3" s="14"/>
      <c r="E3" s="14"/>
      <c r="F3" s="16"/>
      <c r="G3" s="14" t="s">
        <v>34</v>
      </c>
      <c r="H3" s="14" t="s">
        <v>35</v>
      </c>
      <c r="I3" s="14" t="s">
        <v>36</v>
      </c>
      <c r="J3" s="14"/>
    </row>
    <row r="4" spans="1:10" x14ac:dyDescent="0.3">
      <c r="A4" s="13"/>
      <c r="B4" s="14" t="str">
        <f t="shared" si="0"/>
        <v/>
      </c>
      <c r="C4" s="14"/>
      <c r="D4" s="14"/>
      <c r="E4" s="14"/>
      <c r="F4" s="16"/>
      <c r="G4" s="14" t="s">
        <v>34</v>
      </c>
      <c r="H4" s="14" t="s">
        <v>35</v>
      </c>
      <c r="I4" s="14" t="s">
        <v>36</v>
      </c>
      <c r="J4" s="14"/>
    </row>
    <row r="5" spans="1:10" x14ac:dyDescent="0.3">
      <c r="A5" s="13"/>
      <c r="B5" s="14" t="str">
        <f t="shared" si="0"/>
        <v/>
      </c>
      <c r="C5" s="14"/>
      <c r="D5" s="14"/>
      <c r="E5" s="14"/>
      <c r="F5" s="16"/>
      <c r="G5" s="14" t="s">
        <v>34</v>
      </c>
      <c r="H5" s="14" t="s">
        <v>35</v>
      </c>
      <c r="I5" s="14" t="s">
        <v>36</v>
      </c>
      <c r="J5" s="14"/>
    </row>
    <row r="6" spans="1:10" x14ac:dyDescent="0.3">
      <c r="A6" s="13"/>
      <c r="B6" s="14" t="str">
        <f t="shared" si="0"/>
        <v/>
      </c>
      <c r="C6" s="14"/>
      <c r="D6" s="14"/>
      <c r="E6" s="14"/>
      <c r="F6" s="16"/>
      <c r="G6" s="14" t="s">
        <v>34</v>
      </c>
      <c r="H6" s="14" t="s">
        <v>35</v>
      </c>
      <c r="I6" s="14" t="s">
        <v>36</v>
      </c>
      <c r="J6" s="14"/>
    </row>
    <row r="7" spans="1:10" x14ac:dyDescent="0.3">
      <c r="A7" s="13"/>
      <c r="B7" s="14" t="str">
        <f t="shared" si="0"/>
        <v/>
      </c>
      <c r="C7" s="14"/>
      <c r="D7" s="14"/>
      <c r="E7" s="14"/>
      <c r="F7" s="16"/>
      <c r="G7" s="14" t="s">
        <v>34</v>
      </c>
      <c r="H7" s="14" t="s">
        <v>35</v>
      </c>
      <c r="I7" s="14" t="s">
        <v>36</v>
      </c>
      <c r="J7" s="14"/>
    </row>
    <row r="8" spans="1:10" x14ac:dyDescent="0.3">
      <c r="A8" s="13"/>
      <c r="B8" s="14" t="str">
        <f t="shared" si="0"/>
        <v/>
      </c>
      <c r="C8" s="14"/>
      <c r="D8" s="14"/>
      <c r="E8" s="14"/>
      <c r="F8" s="16"/>
      <c r="G8" s="14" t="s">
        <v>34</v>
      </c>
      <c r="H8" s="14" t="s">
        <v>35</v>
      </c>
      <c r="I8" s="14" t="s">
        <v>36</v>
      </c>
      <c r="J8" s="14"/>
    </row>
    <row r="9" spans="1:10" x14ac:dyDescent="0.3">
      <c r="A9" s="13"/>
      <c r="B9" s="14" t="str">
        <f t="shared" si="0"/>
        <v/>
      </c>
      <c r="C9" s="14"/>
      <c r="D9" s="14"/>
      <c r="E9" s="14"/>
      <c r="F9" s="16"/>
      <c r="G9" s="14" t="s">
        <v>34</v>
      </c>
      <c r="H9" s="14" t="s">
        <v>35</v>
      </c>
      <c r="I9" s="14" t="s">
        <v>36</v>
      </c>
      <c r="J9" s="14"/>
    </row>
    <row r="10" spans="1:10" x14ac:dyDescent="0.3">
      <c r="A10" s="13"/>
      <c r="B10" s="14" t="str">
        <f t="shared" si="0"/>
        <v/>
      </c>
      <c r="C10" s="14"/>
      <c r="D10" s="14"/>
      <c r="E10" s="14"/>
      <c r="F10" s="16"/>
      <c r="G10" s="14" t="s">
        <v>34</v>
      </c>
      <c r="H10" s="14" t="s">
        <v>35</v>
      </c>
      <c r="I10" s="14" t="s">
        <v>36</v>
      </c>
      <c r="J10" s="14"/>
    </row>
    <row r="11" spans="1:10" x14ac:dyDescent="0.3">
      <c r="A11" s="13"/>
      <c r="B11" s="14" t="str">
        <f t="shared" si="0"/>
        <v/>
      </c>
      <c r="C11" s="14"/>
      <c r="D11" s="14"/>
      <c r="E11" s="14"/>
      <c r="F11" s="16"/>
      <c r="G11" s="14" t="s">
        <v>34</v>
      </c>
      <c r="H11" s="14" t="s">
        <v>35</v>
      </c>
      <c r="I11" s="14" t="s">
        <v>36</v>
      </c>
      <c r="J11" s="14"/>
    </row>
    <row r="12" spans="1:10" x14ac:dyDescent="0.3">
      <c r="A12" s="13"/>
      <c r="B12" s="14" t="str">
        <f t="shared" si="0"/>
        <v/>
      </c>
      <c r="C12" s="14"/>
      <c r="D12" s="14"/>
      <c r="E12" s="14"/>
      <c r="F12" s="16"/>
      <c r="G12" s="14" t="s">
        <v>34</v>
      </c>
      <c r="H12" s="14" t="s">
        <v>35</v>
      </c>
      <c r="I12" s="14" t="s">
        <v>36</v>
      </c>
      <c r="J12" s="14"/>
    </row>
    <row r="13" spans="1:10" x14ac:dyDescent="0.3">
      <c r="A13" s="13"/>
      <c r="B13" s="14" t="str">
        <f t="shared" si="0"/>
        <v/>
      </c>
      <c r="C13" s="14"/>
      <c r="D13" s="14"/>
      <c r="E13" s="14"/>
      <c r="F13" s="16"/>
      <c r="G13" s="14" t="s">
        <v>34</v>
      </c>
      <c r="H13" s="14" t="s">
        <v>35</v>
      </c>
      <c r="I13" s="14" t="s">
        <v>36</v>
      </c>
      <c r="J13" s="14"/>
    </row>
    <row r="14" spans="1:10" x14ac:dyDescent="0.3">
      <c r="A14" s="13"/>
      <c r="B14" s="14" t="str">
        <f t="shared" si="0"/>
        <v/>
      </c>
      <c r="C14" s="14"/>
      <c r="D14" s="14"/>
      <c r="E14" s="14"/>
      <c r="F14" s="16"/>
      <c r="G14" s="14" t="s">
        <v>34</v>
      </c>
      <c r="H14" s="14" t="s">
        <v>35</v>
      </c>
      <c r="I14" s="14" t="s">
        <v>36</v>
      </c>
      <c r="J14" s="14"/>
    </row>
    <row r="15" spans="1:10" x14ac:dyDescent="0.3">
      <c r="A15" s="13"/>
      <c r="B15" s="14" t="str">
        <f t="shared" si="0"/>
        <v/>
      </c>
      <c r="C15" s="14"/>
      <c r="D15" s="14"/>
      <c r="E15" s="14"/>
      <c r="F15" s="16"/>
      <c r="G15" s="14" t="s">
        <v>34</v>
      </c>
      <c r="H15" s="14" t="s">
        <v>35</v>
      </c>
      <c r="I15" s="14" t="s">
        <v>36</v>
      </c>
      <c r="J15" s="14"/>
    </row>
    <row r="16" spans="1:10" x14ac:dyDescent="0.3">
      <c r="A16" s="13"/>
      <c r="B16" s="14" t="str">
        <f t="shared" si="0"/>
        <v/>
      </c>
      <c r="C16" s="14"/>
      <c r="D16" s="14"/>
      <c r="E16" s="14"/>
      <c r="F16" s="16"/>
      <c r="G16" s="14" t="s">
        <v>34</v>
      </c>
      <c r="H16" s="14" t="s">
        <v>35</v>
      </c>
      <c r="I16" s="14" t="s">
        <v>36</v>
      </c>
      <c r="J16" s="14"/>
    </row>
    <row r="17" spans="1:10" x14ac:dyDescent="0.3">
      <c r="A17" s="13"/>
      <c r="B17" s="14" t="str">
        <f t="shared" si="0"/>
        <v/>
      </c>
      <c r="C17" s="14"/>
      <c r="D17" s="14"/>
      <c r="E17" s="14"/>
      <c r="F17" s="16"/>
      <c r="G17" s="14" t="s">
        <v>34</v>
      </c>
      <c r="H17" s="14" t="s">
        <v>35</v>
      </c>
      <c r="I17" s="14" t="s">
        <v>36</v>
      </c>
      <c r="J17" s="14"/>
    </row>
    <row r="18" spans="1:10" x14ac:dyDescent="0.3">
      <c r="A18" s="13"/>
      <c r="B18" s="14" t="str">
        <f t="shared" si="0"/>
        <v/>
      </c>
      <c r="C18" s="14"/>
      <c r="D18" s="14"/>
      <c r="E18" s="14"/>
      <c r="F18" s="16"/>
      <c r="G18" s="14" t="s">
        <v>34</v>
      </c>
      <c r="H18" s="14" t="s">
        <v>35</v>
      </c>
      <c r="I18" s="14" t="s">
        <v>36</v>
      </c>
      <c r="J18" s="14"/>
    </row>
    <row r="19" spans="1:10" x14ac:dyDescent="0.3">
      <c r="A19" s="13"/>
      <c r="B19" s="14" t="str">
        <f t="shared" si="0"/>
        <v/>
      </c>
      <c r="C19" s="14"/>
      <c r="D19" s="14"/>
      <c r="E19" s="14"/>
      <c r="F19" s="16"/>
      <c r="G19" s="14" t="s">
        <v>34</v>
      </c>
      <c r="H19" s="14" t="s">
        <v>35</v>
      </c>
      <c r="I19" s="14" t="s">
        <v>36</v>
      </c>
      <c r="J19" s="14"/>
    </row>
    <row r="20" spans="1:10" x14ac:dyDescent="0.3">
      <c r="A20" s="13"/>
      <c r="B20" s="14" t="str">
        <f t="shared" si="0"/>
        <v/>
      </c>
      <c r="C20" s="14"/>
      <c r="D20" s="14"/>
      <c r="E20" s="14"/>
      <c r="F20" s="16"/>
      <c r="G20" s="14" t="s">
        <v>34</v>
      </c>
      <c r="H20" s="14" t="s">
        <v>35</v>
      </c>
      <c r="I20" s="14" t="s">
        <v>36</v>
      </c>
      <c r="J20" s="14"/>
    </row>
    <row r="21" spans="1:10" x14ac:dyDescent="0.3">
      <c r="A21" s="13"/>
      <c r="B21" s="14" t="str">
        <f t="shared" si="0"/>
        <v/>
      </c>
      <c r="C21" s="14"/>
      <c r="D21" s="14"/>
      <c r="E21" s="14"/>
      <c r="F21" s="16"/>
      <c r="G21" s="14" t="s">
        <v>34</v>
      </c>
      <c r="H21" s="14" t="s">
        <v>35</v>
      </c>
      <c r="I21" s="14" t="s">
        <v>36</v>
      </c>
      <c r="J21" s="14"/>
    </row>
    <row r="22" spans="1:10" x14ac:dyDescent="0.3">
      <c r="A22" s="13"/>
      <c r="B22" s="14" t="str">
        <f t="shared" si="0"/>
        <v/>
      </c>
      <c r="C22" s="14"/>
      <c r="D22" s="14"/>
      <c r="E22" s="14"/>
      <c r="F22" s="16"/>
      <c r="G22" s="14" t="s">
        <v>34</v>
      </c>
      <c r="H22" s="14" t="s">
        <v>35</v>
      </c>
      <c r="I22" s="14" t="s">
        <v>36</v>
      </c>
      <c r="J22" s="14"/>
    </row>
    <row r="23" spans="1:10" x14ac:dyDescent="0.3">
      <c r="A23" s="13"/>
      <c r="B23" s="14" t="str">
        <f t="shared" si="0"/>
        <v/>
      </c>
      <c r="C23" s="14"/>
      <c r="D23" s="14"/>
      <c r="E23" s="14"/>
      <c r="F23" s="16"/>
      <c r="G23" s="14" t="s">
        <v>34</v>
      </c>
      <c r="H23" s="14" t="s">
        <v>35</v>
      </c>
      <c r="I23" s="14" t="s">
        <v>36</v>
      </c>
      <c r="J23" s="14"/>
    </row>
    <row r="24" spans="1:10" x14ac:dyDescent="0.3">
      <c r="A24" s="13"/>
      <c r="B24" s="14" t="str">
        <f t="shared" si="0"/>
        <v/>
      </c>
      <c r="C24" s="14"/>
      <c r="D24" s="14"/>
      <c r="E24" s="14"/>
      <c r="F24" s="16"/>
      <c r="G24" s="14" t="s">
        <v>34</v>
      </c>
      <c r="H24" s="14" t="s">
        <v>35</v>
      </c>
      <c r="I24" s="14" t="s">
        <v>36</v>
      </c>
      <c r="J24" s="14"/>
    </row>
    <row r="25" spans="1:10" x14ac:dyDescent="0.3">
      <c r="A25" s="13"/>
      <c r="B25" s="14" t="str">
        <f t="shared" si="0"/>
        <v/>
      </c>
      <c r="C25" s="14"/>
      <c r="D25" s="14"/>
      <c r="E25" s="14"/>
      <c r="F25" s="16"/>
      <c r="G25" s="14" t="s">
        <v>34</v>
      </c>
      <c r="H25" s="14" t="s">
        <v>35</v>
      </c>
      <c r="I25" s="14" t="s">
        <v>36</v>
      </c>
      <c r="J25" s="14"/>
    </row>
    <row r="26" spans="1:10" x14ac:dyDescent="0.3">
      <c r="A26" s="13"/>
      <c r="B26" s="14" t="str">
        <f t="shared" si="0"/>
        <v/>
      </c>
      <c r="C26" s="14"/>
      <c r="D26" s="14"/>
      <c r="E26" s="14"/>
      <c r="F26" s="16"/>
      <c r="G26" s="14" t="s">
        <v>34</v>
      </c>
      <c r="H26" s="14" t="s">
        <v>35</v>
      </c>
      <c r="I26" s="14" t="s">
        <v>36</v>
      </c>
      <c r="J26" s="14"/>
    </row>
    <row r="27" spans="1:10" x14ac:dyDescent="0.3">
      <c r="A27" s="13"/>
      <c r="B27" s="14" t="str">
        <f t="shared" si="0"/>
        <v/>
      </c>
      <c r="C27" s="14"/>
      <c r="D27" s="14"/>
      <c r="E27" s="14"/>
      <c r="F27" s="16"/>
      <c r="G27" s="14" t="s">
        <v>34</v>
      </c>
      <c r="H27" s="14" t="s">
        <v>35</v>
      </c>
      <c r="I27" s="14" t="s">
        <v>36</v>
      </c>
      <c r="J27" s="14"/>
    </row>
    <row r="28" spans="1:10" x14ac:dyDescent="0.3">
      <c r="A28" s="13"/>
      <c r="B28" s="14" t="str">
        <f t="shared" si="0"/>
        <v/>
      </c>
      <c r="C28" s="14"/>
      <c r="D28" s="14"/>
      <c r="E28" s="14"/>
      <c r="F28" s="16"/>
      <c r="G28" s="14" t="s">
        <v>34</v>
      </c>
      <c r="H28" s="14" t="s">
        <v>35</v>
      </c>
      <c r="I28" s="14" t="s">
        <v>36</v>
      </c>
      <c r="J28" s="14"/>
    </row>
    <row r="29" spans="1:10" x14ac:dyDescent="0.3">
      <c r="A29" s="13"/>
      <c r="B29" s="14" t="str">
        <f t="shared" si="0"/>
        <v/>
      </c>
      <c r="C29" s="14"/>
      <c r="D29" s="14"/>
      <c r="E29" s="14"/>
      <c r="F29" s="16"/>
      <c r="G29" s="14" t="s">
        <v>34</v>
      </c>
      <c r="H29" s="14" t="s">
        <v>35</v>
      </c>
      <c r="I29" s="14" t="s">
        <v>36</v>
      </c>
      <c r="J29" s="14"/>
    </row>
    <row r="30" spans="1:10" x14ac:dyDescent="0.3">
      <c r="A30" s="13"/>
      <c r="B30" s="14" t="str">
        <f t="shared" si="0"/>
        <v/>
      </c>
      <c r="C30" s="14"/>
      <c r="D30" s="14"/>
      <c r="E30" s="14"/>
      <c r="F30" s="16"/>
      <c r="G30" s="14" t="s">
        <v>34</v>
      </c>
      <c r="H30" s="14" t="s">
        <v>35</v>
      </c>
      <c r="I30" s="14" t="s">
        <v>36</v>
      </c>
      <c r="J30" s="14"/>
    </row>
    <row r="31" spans="1:10" x14ac:dyDescent="0.3">
      <c r="A31" s="13"/>
      <c r="B31" s="14" t="str">
        <f t="shared" si="0"/>
        <v/>
      </c>
      <c r="C31" s="14"/>
      <c r="D31" s="14"/>
      <c r="E31" s="14"/>
      <c r="F31" s="16"/>
      <c r="G31" s="14" t="s">
        <v>34</v>
      </c>
      <c r="H31" s="14" t="s">
        <v>35</v>
      </c>
      <c r="I31" s="14" t="s">
        <v>36</v>
      </c>
      <c r="J31" s="14"/>
    </row>
    <row r="32" spans="1:10" x14ac:dyDescent="0.3">
      <c r="A32" s="13"/>
      <c r="B32" s="14" t="str">
        <f t="shared" si="0"/>
        <v/>
      </c>
      <c r="C32" s="14"/>
      <c r="D32" s="14"/>
      <c r="E32" s="14"/>
      <c r="F32" s="16"/>
      <c r="G32" s="14" t="s">
        <v>34</v>
      </c>
      <c r="H32" s="14" t="s">
        <v>35</v>
      </c>
      <c r="I32" s="14" t="s">
        <v>36</v>
      </c>
      <c r="J32" s="14"/>
    </row>
    <row r="33" spans="1:10" x14ac:dyDescent="0.3">
      <c r="A33" s="13"/>
      <c r="B33" s="14" t="str">
        <f t="shared" si="0"/>
        <v/>
      </c>
      <c r="C33" s="14"/>
      <c r="D33" s="14"/>
      <c r="E33" s="14"/>
      <c r="F33" s="16"/>
      <c r="G33" s="14" t="s">
        <v>34</v>
      </c>
      <c r="H33" s="14" t="s">
        <v>35</v>
      </c>
      <c r="I33" s="14" t="s">
        <v>36</v>
      </c>
      <c r="J33" s="14"/>
    </row>
    <row r="34" spans="1:10" x14ac:dyDescent="0.3">
      <c r="A34" s="13"/>
      <c r="B34" s="14" t="str">
        <f t="shared" si="0"/>
        <v/>
      </c>
      <c r="C34" s="14"/>
      <c r="D34" s="14"/>
      <c r="E34" s="14"/>
      <c r="F34" s="16"/>
      <c r="G34" s="14" t="s">
        <v>34</v>
      </c>
      <c r="H34" s="14" t="s">
        <v>35</v>
      </c>
      <c r="I34" s="14" t="s">
        <v>36</v>
      </c>
      <c r="J34" s="14"/>
    </row>
    <row r="35" spans="1:10" x14ac:dyDescent="0.3">
      <c r="A35" s="13"/>
      <c r="B35" s="14" t="str">
        <f t="shared" si="0"/>
        <v/>
      </c>
      <c r="C35" s="14"/>
      <c r="D35" s="14"/>
      <c r="E35" s="14"/>
      <c r="F35" s="16"/>
      <c r="G35" s="14" t="s">
        <v>34</v>
      </c>
      <c r="H35" s="14" t="s">
        <v>35</v>
      </c>
      <c r="I35" s="14" t="s">
        <v>36</v>
      </c>
      <c r="J35" s="14"/>
    </row>
    <row r="36" spans="1:10" x14ac:dyDescent="0.3">
      <c r="A36" s="13"/>
      <c r="B36" s="14" t="str">
        <f t="shared" si="0"/>
        <v/>
      </c>
      <c r="C36" s="14"/>
      <c r="D36" s="14"/>
      <c r="E36" s="14"/>
      <c r="F36" s="16"/>
      <c r="G36" s="14" t="s">
        <v>34</v>
      </c>
      <c r="H36" s="14" t="s">
        <v>35</v>
      </c>
      <c r="I36" s="14" t="s">
        <v>36</v>
      </c>
      <c r="J36" s="14"/>
    </row>
    <row r="37" spans="1:10" x14ac:dyDescent="0.3">
      <c r="A37" s="13"/>
      <c r="B37" s="14" t="str">
        <f t="shared" si="0"/>
        <v/>
      </c>
      <c r="C37" s="14"/>
      <c r="D37" s="14"/>
      <c r="E37" s="14"/>
      <c r="F37" s="16"/>
      <c r="G37" s="14" t="s">
        <v>34</v>
      </c>
      <c r="H37" s="14" t="s">
        <v>35</v>
      </c>
      <c r="I37" s="14" t="s">
        <v>36</v>
      </c>
      <c r="J37" s="14"/>
    </row>
    <row r="38" spans="1:10" x14ac:dyDescent="0.3">
      <c r="A38" s="13"/>
      <c r="B38" s="14" t="str">
        <f t="shared" si="0"/>
        <v/>
      </c>
      <c r="C38" s="14"/>
      <c r="D38" s="14"/>
      <c r="E38" s="14"/>
      <c r="F38" s="16"/>
      <c r="G38" s="14" t="s">
        <v>34</v>
      </c>
      <c r="H38" s="14" t="s">
        <v>35</v>
      </c>
      <c r="I38" s="14" t="s">
        <v>36</v>
      </c>
      <c r="J38" s="14"/>
    </row>
    <row r="39" spans="1:10" x14ac:dyDescent="0.3">
      <c r="A39" s="13"/>
      <c r="B39" s="14" t="str">
        <f t="shared" si="0"/>
        <v/>
      </c>
      <c r="C39" s="14"/>
      <c r="D39" s="14"/>
      <c r="E39" s="14"/>
      <c r="F39" s="16"/>
      <c r="G39" s="14" t="s">
        <v>34</v>
      </c>
      <c r="H39" s="14" t="s">
        <v>35</v>
      </c>
      <c r="I39" s="14" t="s">
        <v>36</v>
      </c>
      <c r="J39" s="14"/>
    </row>
    <row r="40" spans="1:10" x14ac:dyDescent="0.3">
      <c r="A40" s="13"/>
      <c r="B40" s="14" t="str">
        <f t="shared" si="0"/>
        <v/>
      </c>
      <c r="C40" s="14"/>
      <c r="D40" s="14"/>
      <c r="E40" s="14"/>
      <c r="F40" s="16"/>
      <c r="G40" s="14" t="s">
        <v>34</v>
      </c>
      <c r="H40" s="14" t="s">
        <v>35</v>
      </c>
      <c r="I40" s="14" t="s">
        <v>36</v>
      </c>
      <c r="J40" s="14"/>
    </row>
    <row r="41" spans="1:10" x14ac:dyDescent="0.3">
      <c r="A41" s="13"/>
      <c r="B41" s="14" t="str">
        <f t="shared" si="0"/>
        <v/>
      </c>
      <c r="C41" s="14"/>
      <c r="D41" s="14"/>
      <c r="E41" s="14"/>
      <c r="F41" s="16"/>
      <c r="G41" s="14" t="s">
        <v>34</v>
      </c>
      <c r="H41" s="14" t="s">
        <v>35</v>
      </c>
      <c r="I41" s="14" t="s">
        <v>36</v>
      </c>
      <c r="J41" s="14"/>
    </row>
    <row r="42" spans="1:10" x14ac:dyDescent="0.3">
      <c r="A42" s="13"/>
      <c r="B42" s="14" t="str">
        <f t="shared" si="0"/>
        <v/>
      </c>
      <c r="C42" s="14"/>
      <c r="D42" s="14"/>
      <c r="E42" s="14"/>
      <c r="F42" s="16"/>
      <c r="G42" s="14" t="s">
        <v>34</v>
      </c>
      <c r="H42" s="14" t="s">
        <v>35</v>
      </c>
      <c r="I42" s="14" t="s">
        <v>36</v>
      </c>
      <c r="J42" s="14"/>
    </row>
    <row r="43" spans="1:10" x14ac:dyDescent="0.3">
      <c r="A43" s="13"/>
      <c r="B43" s="14" t="str">
        <f t="shared" si="0"/>
        <v/>
      </c>
      <c r="C43" s="14"/>
      <c r="D43" s="14"/>
      <c r="E43" s="14"/>
      <c r="F43" s="16"/>
      <c r="G43" s="14" t="s">
        <v>34</v>
      </c>
      <c r="H43" s="14" t="s">
        <v>35</v>
      </c>
      <c r="I43" s="14" t="s">
        <v>36</v>
      </c>
      <c r="J43" s="14"/>
    </row>
    <row r="44" spans="1:10" x14ac:dyDescent="0.3">
      <c r="A44" s="13"/>
      <c r="B44" s="14" t="str">
        <f t="shared" si="0"/>
        <v/>
      </c>
      <c r="C44" s="14"/>
      <c r="D44" s="14"/>
      <c r="E44" s="14"/>
      <c r="F44" s="16"/>
      <c r="G44" s="14" t="s">
        <v>34</v>
      </c>
      <c r="H44" s="14" t="s">
        <v>35</v>
      </c>
      <c r="I44" s="14" t="s">
        <v>36</v>
      </c>
      <c r="J44" s="14"/>
    </row>
    <row r="45" spans="1:10" x14ac:dyDescent="0.3">
      <c r="A45" s="13"/>
      <c r="B45" s="14" t="str">
        <f t="shared" si="0"/>
        <v/>
      </c>
      <c r="C45" s="14"/>
      <c r="D45" s="14"/>
      <c r="E45" s="14"/>
      <c r="F45" s="16"/>
      <c r="G45" s="14" t="s">
        <v>34</v>
      </c>
      <c r="H45" s="14" t="s">
        <v>35</v>
      </c>
      <c r="I45" s="14" t="s">
        <v>36</v>
      </c>
      <c r="J45" s="14"/>
    </row>
    <row r="46" spans="1:10" x14ac:dyDescent="0.3">
      <c r="A46" s="13"/>
      <c r="B46" s="14" t="str">
        <f t="shared" si="0"/>
        <v/>
      </c>
      <c r="C46" s="14"/>
      <c r="D46" s="14"/>
      <c r="E46" s="14"/>
      <c r="F46" s="16"/>
      <c r="G46" s="14" t="s">
        <v>34</v>
      </c>
      <c r="H46" s="14" t="s">
        <v>35</v>
      </c>
      <c r="I46" s="14" t="s">
        <v>36</v>
      </c>
      <c r="J46" s="14"/>
    </row>
    <row r="47" spans="1:10" x14ac:dyDescent="0.3">
      <c r="A47" s="13"/>
      <c r="B47" s="14" t="str">
        <f t="shared" si="0"/>
        <v/>
      </c>
      <c r="C47" s="14"/>
      <c r="D47" s="14"/>
      <c r="E47" s="14"/>
      <c r="F47" s="16"/>
      <c r="G47" s="14" t="s">
        <v>34</v>
      </c>
      <c r="H47" s="14" t="s">
        <v>35</v>
      </c>
      <c r="I47" s="14" t="s">
        <v>36</v>
      </c>
      <c r="J47" s="14"/>
    </row>
    <row r="48" spans="1:10" x14ac:dyDescent="0.3">
      <c r="A48" s="13"/>
      <c r="B48" s="14" t="str">
        <f t="shared" si="0"/>
        <v/>
      </c>
      <c r="C48" s="14"/>
      <c r="D48" s="14"/>
      <c r="E48" s="14"/>
      <c r="F48" s="16"/>
      <c r="G48" s="14" t="s">
        <v>34</v>
      </c>
      <c r="H48" s="14" t="s">
        <v>35</v>
      </c>
      <c r="I48" s="14" t="s">
        <v>36</v>
      </c>
      <c r="J48" s="14"/>
    </row>
    <row r="49" spans="1:10" x14ac:dyDescent="0.3">
      <c r="A49" s="13"/>
      <c r="B49" s="14" t="str">
        <f t="shared" si="0"/>
        <v/>
      </c>
      <c r="C49" s="14"/>
      <c r="D49" s="14"/>
      <c r="E49" s="14"/>
      <c r="F49" s="16"/>
      <c r="G49" s="14" t="s">
        <v>34</v>
      </c>
      <c r="H49" s="14" t="s">
        <v>35</v>
      </c>
      <c r="I49" s="14" t="s">
        <v>36</v>
      </c>
      <c r="J49" s="14"/>
    </row>
    <row r="50" spans="1:10" x14ac:dyDescent="0.3">
      <c r="A50" s="13"/>
      <c r="B50" s="14" t="str">
        <f t="shared" si="0"/>
        <v/>
      </c>
      <c r="C50" s="14"/>
      <c r="D50" s="14"/>
      <c r="E50" s="14"/>
      <c r="F50" s="16"/>
      <c r="G50" s="14" t="s">
        <v>34</v>
      </c>
      <c r="H50" s="14" t="s">
        <v>35</v>
      </c>
      <c r="I50" s="14" t="s">
        <v>36</v>
      </c>
      <c r="J50" s="14"/>
    </row>
    <row r="51" spans="1:10" x14ac:dyDescent="0.3">
      <c r="A51" s="13"/>
      <c r="B51" s="14" t="str">
        <f t="shared" si="0"/>
        <v/>
      </c>
      <c r="C51" s="14"/>
      <c r="D51" s="14"/>
      <c r="E51" s="14"/>
      <c r="F51" s="16"/>
      <c r="G51" s="14" t="s">
        <v>34</v>
      </c>
      <c r="H51" s="14" t="s">
        <v>35</v>
      </c>
      <c r="I51" s="14" t="s">
        <v>36</v>
      </c>
      <c r="J51" s="14"/>
    </row>
    <row r="52" spans="1:10" x14ac:dyDescent="0.3">
      <c r="A52" s="13"/>
      <c r="B52" s="14" t="str">
        <f t="shared" si="0"/>
        <v/>
      </c>
      <c r="C52" s="14"/>
      <c r="D52" s="14"/>
      <c r="E52" s="14"/>
      <c r="F52" s="16"/>
      <c r="G52" s="14" t="s">
        <v>34</v>
      </c>
      <c r="H52" s="14" t="s">
        <v>35</v>
      </c>
      <c r="I52" s="14" t="s">
        <v>36</v>
      </c>
      <c r="J52" s="14"/>
    </row>
    <row r="53" spans="1:10" x14ac:dyDescent="0.3">
      <c r="A53" s="13"/>
      <c r="B53" s="14" t="str">
        <f t="shared" si="0"/>
        <v/>
      </c>
      <c r="C53" s="14"/>
      <c r="D53" s="14"/>
      <c r="E53" s="14"/>
      <c r="F53" s="16"/>
      <c r="G53" s="14" t="s">
        <v>34</v>
      </c>
      <c r="H53" s="14" t="s">
        <v>35</v>
      </c>
      <c r="I53" s="14" t="s">
        <v>36</v>
      </c>
      <c r="J53" s="14"/>
    </row>
    <row r="54" spans="1:10" x14ac:dyDescent="0.3">
      <c r="A54" s="13"/>
      <c r="B54" s="14" t="str">
        <f t="shared" si="0"/>
        <v/>
      </c>
      <c r="C54" s="14"/>
      <c r="D54" s="14"/>
      <c r="E54" s="14"/>
      <c r="F54" s="16"/>
      <c r="G54" s="14" t="s">
        <v>34</v>
      </c>
      <c r="H54" s="14" t="s">
        <v>35</v>
      </c>
      <c r="I54" s="14" t="s">
        <v>36</v>
      </c>
      <c r="J54" s="14"/>
    </row>
    <row r="55" spans="1:10" x14ac:dyDescent="0.3">
      <c r="A55" s="13"/>
      <c r="B55" s="14" t="str">
        <f t="shared" si="0"/>
        <v/>
      </c>
      <c r="C55" s="14"/>
      <c r="D55" s="14"/>
      <c r="E55" s="14"/>
      <c r="F55" s="16"/>
      <c r="G55" s="14" t="s">
        <v>34</v>
      </c>
      <c r="H55" s="14" t="s">
        <v>35</v>
      </c>
      <c r="I55" s="14" t="s">
        <v>36</v>
      </c>
      <c r="J55" s="14"/>
    </row>
    <row r="56" spans="1:10" x14ac:dyDescent="0.3">
      <c r="A56" s="13"/>
      <c r="B56" s="14" t="str">
        <f t="shared" si="0"/>
        <v/>
      </c>
      <c r="C56" s="14"/>
      <c r="D56" s="14"/>
      <c r="E56" s="14"/>
      <c r="F56" s="16"/>
      <c r="G56" s="14" t="s">
        <v>34</v>
      </c>
      <c r="H56" s="14" t="s">
        <v>35</v>
      </c>
      <c r="I56" s="14" t="s">
        <v>36</v>
      </c>
      <c r="J56" s="14"/>
    </row>
    <row r="57" spans="1:10" x14ac:dyDescent="0.3">
      <c r="A57" s="13"/>
      <c r="B57" s="14" t="str">
        <f t="shared" si="0"/>
        <v/>
      </c>
      <c r="C57" s="14"/>
      <c r="D57" s="14"/>
      <c r="E57" s="14"/>
      <c r="F57" s="16"/>
      <c r="G57" s="14" t="s">
        <v>34</v>
      </c>
      <c r="H57" s="14" t="s">
        <v>35</v>
      </c>
      <c r="I57" s="14" t="s">
        <v>36</v>
      </c>
      <c r="J57" s="14"/>
    </row>
    <row r="58" spans="1:10" x14ac:dyDescent="0.3">
      <c r="A58" s="13"/>
      <c r="B58" s="14" t="str">
        <f t="shared" si="0"/>
        <v/>
      </c>
      <c r="C58" s="14"/>
      <c r="D58" s="14"/>
      <c r="E58" s="14"/>
      <c r="F58" s="16"/>
      <c r="G58" s="14" t="s">
        <v>34</v>
      </c>
      <c r="H58" s="14" t="s">
        <v>35</v>
      </c>
      <c r="I58" s="14" t="s">
        <v>36</v>
      </c>
      <c r="J58" s="14"/>
    </row>
    <row r="59" spans="1:10" x14ac:dyDescent="0.3">
      <c r="A59" s="13"/>
      <c r="B59" s="14" t="str">
        <f t="shared" si="0"/>
        <v/>
      </c>
      <c r="C59" s="14"/>
      <c r="D59" s="14"/>
      <c r="E59" s="14"/>
      <c r="F59" s="16"/>
      <c r="G59" s="14" t="s">
        <v>34</v>
      </c>
      <c r="H59" s="14" t="s">
        <v>35</v>
      </c>
      <c r="I59" s="14" t="s">
        <v>36</v>
      </c>
      <c r="J59" s="14"/>
    </row>
    <row r="60" spans="1:10" x14ac:dyDescent="0.3">
      <c r="A60" s="13"/>
      <c r="B60" s="14" t="str">
        <f t="shared" si="0"/>
        <v/>
      </c>
      <c r="C60" s="14"/>
      <c r="D60" s="14"/>
      <c r="E60" s="14"/>
      <c r="F60" s="16"/>
      <c r="G60" s="14" t="s">
        <v>34</v>
      </c>
      <c r="H60" s="14" t="s">
        <v>35</v>
      </c>
      <c r="I60" s="14" t="s">
        <v>36</v>
      </c>
      <c r="J60" s="14"/>
    </row>
    <row r="61" spans="1:10" x14ac:dyDescent="0.3">
      <c r="A61" s="13"/>
      <c r="B61" s="14" t="str">
        <f t="shared" si="0"/>
        <v/>
      </c>
      <c r="C61" s="14"/>
      <c r="D61" s="14"/>
      <c r="E61" s="14"/>
      <c r="F61" s="16"/>
      <c r="G61" s="14" t="s">
        <v>34</v>
      </c>
      <c r="H61" s="14" t="s">
        <v>35</v>
      </c>
      <c r="I61" s="14" t="s">
        <v>36</v>
      </c>
      <c r="J61" s="14"/>
    </row>
    <row r="62" spans="1:10" x14ac:dyDescent="0.3">
      <c r="A62" s="13"/>
      <c r="B62" s="14" t="str">
        <f t="shared" si="0"/>
        <v/>
      </c>
      <c r="C62" s="14"/>
      <c r="D62" s="14"/>
      <c r="E62" s="14"/>
      <c r="F62" s="16"/>
      <c r="G62" s="14" t="s">
        <v>34</v>
      </c>
      <c r="H62" s="14" t="s">
        <v>35</v>
      </c>
      <c r="I62" s="14" t="s">
        <v>36</v>
      </c>
      <c r="J62" s="14"/>
    </row>
    <row r="63" spans="1:10" x14ac:dyDescent="0.3">
      <c r="A63" s="13"/>
      <c r="B63" s="14" t="str">
        <f t="shared" si="0"/>
        <v/>
      </c>
      <c r="C63" s="14"/>
      <c r="D63" s="14"/>
      <c r="E63" s="14"/>
      <c r="F63" s="16"/>
      <c r="G63" s="14" t="s">
        <v>34</v>
      </c>
      <c r="H63" s="14" t="s">
        <v>35</v>
      </c>
      <c r="I63" s="14" t="s">
        <v>36</v>
      </c>
      <c r="J63" s="14"/>
    </row>
    <row r="64" spans="1:10" x14ac:dyDescent="0.3">
      <c r="A64" s="13"/>
      <c r="B64" s="14" t="str">
        <f t="shared" si="0"/>
        <v/>
      </c>
      <c r="C64" s="14"/>
      <c r="D64" s="14"/>
      <c r="E64" s="14"/>
      <c r="F64" s="16"/>
      <c r="G64" s="14" t="s">
        <v>34</v>
      </c>
      <c r="H64" s="14" t="s">
        <v>35</v>
      </c>
      <c r="I64" s="14" t="s">
        <v>36</v>
      </c>
      <c r="J64" s="14"/>
    </row>
    <row r="65" spans="1:10" x14ac:dyDescent="0.3">
      <c r="A65" s="13"/>
      <c r="B65" s="14" t="str">
        <f t="shared" si="0"/>
        <v/>
      </c>
      <c r="C65" s="14"/>
      <c r="D65" s="14"/>
      <c r="E65" s="14"/>
      <c r="F65" s="16"/>
      <c r="G65" s="14" t="s">
        <v>34</v>
      </c>
      <c r="H65" s="14" t="s">
        <v>35</v>
      </c>
      <c r="I65" s="14" t="s">
        <v>36</v>
      </c>
      <c r="J65" s="14"/>
    </row>
    <row r="66" spans="1:10" x14ac:dyDescent="0.3">
      <c r="A66" s="13"/>
      <c r="B66" s="14" t="str">
        <f t="shared" ref="B66:B129" si="1">IF(A66="","", "I"&amp;TEXT(A66,"yymmdd")&amp;"-"&amp;TEXT(ROW()-1,"0000"))</f>
        <v/>
      </c>
      <c r="C66" s="14"/>
      <c r="D66" s="14"/>
      <c r="E66" s="14"/>
      <c r="F66" s="16"/>
      <c r="G66" s="14" t="s">
        <v>34</v>
      </c>
      <c r="H66" s="14" t="s">
        <v>35</v>
      </c>
      <c r="I66" s="14" t="s">
        <v>36</v>
      </c>
      <c r="J66" s="14"/>
    </row>
    <row r="67" spans="1:10" x14ac:dyDescent="0.3">
      <c r="A67" s="13"/>
      <c r="B67" s="14" t="str">
        <f t="shared" si="1"/>
        <v/>
      </c>
      <c r="C67" s="14"/>
      <c r="D67" s="14"/>
      <c r="E67" s="14"/>
      <c r="F67" s="16"/>
      <c r="G67" s="14" t="s">
        <v>34</v>
      </c>
      <c r="H67" s="14" t="s">
        <v>35</v>
      </c>
      <c r="I67" s="14" t="s">
        <v>36</v>
      </c>
      <c r="J67" s="14"/>
    </row>
    <row r="68" spans="1:10" x14ac:dyDescent="0.3">
      <c r="A68" s="13"/>
      <c r="B68" s="14" t="str">
        <f t="shared" si="1"/>
        <v/>
      </c>
      <c r="C68" s="14"/>
      <c r="D68" s="14"/>
      <c r="E68" s="14"/>
      <c r="F68" s="16"/>
      <c r="G68" s="14" t="s">
        <v>34</v>
      </c>
      <c r="H68" s="14" t="s">
        <v>35</v>
      </c>
      <c r="I68" s="14" t="s">
        <v>36</v>
      </c>
      <c r="J68" s="14"/>
    </row>
    <row r="69" spans="1:10" x14ac:dyDescent="0.3">
      <c r="A69" s="13"/>
      <c r="B69" s="14" t="str">
        <f t="shared" si="1"/>
        <v/>
      </c>
      <c r="C69" s="14"/>
      <c r="D69" s="14"/>
      <c r="E69" s="14"/>
      <c r="F69" s="16"/>
      <c r="G69" s="14" t="s">
        <v>34</v>
      </c>
      <c r="H69" s="14" t="s">
        <v>35</v>
      </c>
      <c r="I69" s="14" t="s">
        <v>36</v>
      </c>
      <c r="J69" s="14"/>
    </row>
    <row r="70" spans="1:10" x14ac:dyDescent="0.3">
      <c r="A70" s="13"/>
      <c r="B70" s="14" t="str">
        <f t="shared" si="1"/>
        <v/>
      </c>
      <c r="C70" s="14"/>
      <c r="D70" s="14"/>
      <c r="E70" s="14"/>
      <c r="F70" s="16"/>
      <c r="G70" s="14" t="s">
        <v>34</v>
      </c>
      <c r="H70" s="14" t="s">
        <v>35</v>
      </c>
      <c r="I70" s="14" t="s">
        <v>36</v>
      </c>
      <c r="J70" s="14"/>
    </row>
    <row r="71" spans="1:10" x14ac:dyDescent="0.3">
      <c r="A71" s="13"/>
      <c r="B71" s="14" t="str">
        <f t="shared" si="1"/>
        <v/>
      </c>
      <c r="C71" s="14"/>
      <c r="D71" s="14"/>
      <c r="E71" s="14"/>
      <c r="F71" s="16"/>
      <c r="G71" s="14" t="s">
        <v>34</v>
      </c>
      <c r="H71" s="14" t="s">
        <v>35</v>
      </c>
      <c r="I71" s="14" t="s">
        <v>36</v>
      </c>
      <c r="J71" s="14"/>
    </row>
    <row r="72" spans="1:10" x14ac:dyDescent="0.3">
      <c r="A72" s="13"/>
      <c r="B72" s="14" t="str">
        <f t="shared" si="1"/>
        <v/>
      </c>
      <c r="C72" s="14"/>
      <c r="D72" s="14"/>
      <c r="E72" s="14"/>
      <c r="F72" s="16"/>
      <c r="G72" s="14" t="s">
        <v>34</v>
      </c>
      <c r="H72" s="14" t="s">
        <v>35</v>
      </c>
      <c r="I72" s="14" t="s">
        <v>36</v>
      </c>
      <c r="J72" s="14"/>
    </row>
    <row r="73" spans="1:10" x14ac:dyDescent="0.3">
      <c r="A73" s="13"/>
      <c r="B73" s="14" t="str">
        <f t="shared" si="1"/>
        <v/>
      </c>
      <c r="C73" s="14"/>
      <c r="D73" s="14"/>
      <c r="E73" s="14"/>
      <c r="F73" s="16"/>
      <c r="G73" s="14" t="s">
        <v>34</v>
      </c>
      <c r="H73" s="14" t="s">
        <v>35</v>
      </c>
      <c r="I73" s="14" t="s">
        <v>36</v>
      </c>
      <c r="J73" s="14"/>
    </row>
    <row r="74" spans="1:10" x14ac:dyDescent="0.3">
      <c r="A74" s="13"/>
      <c r="B74" s="14" t="str">
        <f t="shared" si="1"/>
        <v/>
      </c>
      <c r="C74" s="14"/>
      <c r="D74" s="14"/>
      <c r="E74" s="14"/>
      <c r="F74" s="16"/>
      <c r="G74" s="14" t="s">
        <v>34</v>
      </c>
      <c r="H74" s="14" t="s">
        <v>35</v>
      </c>
      <c r="I74" s="14" t="s">
        <v>36</v>
      </c>
      <c r="J74" s="14"/>
    </row>
    <row r="75" spans="1:10" x14ac:dyDescent="0.3">
      <c r="A75" s="13"/>
      <c r="B75" s="14" t="str">
        <f t="shared" si="1"/>
        <v/>
      </c>
      <c r="C75" s="14"/>
      <c r="D75" s="14"/>
      <c r="E75" s="14"/>
      <c r="F75" s="16"/>
      <c r="G75" s="14" t="s">
        <v>34</v>
      </c>
      <c r="H75" s="14" t="s">
        <v>35</v>
      </c>
      <c r="I75" s="14" t="s">
        <v>36</v>
      </c>
      <c r="J75" s="14"/>
    </row>
    <row r="76" spans="1:10" x14ac:dyDescent="0.3">
      <c r="A76" s="13"/>
      <c r="B76" s="14" t="str">
        <f t="shared" si="1"/>
        <v/>
      </c>
      <c r="C76" s="14"/>
      <c r="D76" s="14"/>
      <c r="E76" s="14"/>
      <c r="F76" s="16"/>
      <c r="G76" s="14" t="s">
        <v>34</v>
      </c>
      <c r="H76" s="14" t="s">
        <v>35</v>
      </c>
      <c r="I76" s="14" t="s">
        <v>36</v>
      </c>
      <c r="J76" s="14"/>
    </row>
    <row r="77" spans="1:10" x14ac:dyDescent="0.3">
      <c r="A77" s="13"/>
      <c r="B77" s="14" t="str">
        <f t="shared" si="1"/>
        <v/>
      </c>
      <c r="C77" s="14"/>
      <c r="D77" s="14"/>
      <c r="E77" s="14"/>
      <c r="F77" s="16"/>
      <c r="G77" s="14" t="s">
        <v>34</v>
      </c>
      <c r="H77" s="14" t="s">
        <v>35</v>
      </c>
      <c r="I77" s="14" t="s">
        <v>36</v>
      </c>
      <c r="J77" s="14"/>
    </row>
    <row r="78" spans="1:10" x14ac:dyDescent="0.3">
      <c r="A78" s="13"/>
      <c r="B78" s="14" t="str">
        <f t="shared" si="1"/>
        <v/>
      </c>
      <c r="C78" s="14"/>
      <c r="D78" s="14"/>
      <c r="E78" s="14"/>
      <c r="F78" s="16"/>
      <c r="G78" s="14" t="s">
        <v>34</v>
      </c>
      <c r="H78" s="14" t="s">
        <v>35</v>
      </c>
      <c r="I78" s="14" t="s">
        <v>36</v>
      </c>
      <c r="J78" s="14"/>
    </row>
    <row r="79" spans="1:10" x14ac:dyDescent="0.3">
      <c r="A79" s="13"/>
      <c r="B79" s="14" t="str">
        <f t="shared" si="1"/>
        <v/>
      </c>
      <c r="C79" s="14"/>
      <c r="D79" s="14"/>
      <c r="E79" s="14"/>
      <c r="F79" s="16"/>
      <c r="G79" s="14" t="s">
        <v>34</v>
      </c>
      <c r="H79" s="14" t="s">
        <v>35</v>
      </c>
      <c r="I79" s="14" t="s">
        <v>36</v>
      </c>
      <c r="J79" s="14"/>
    </row>
    <row r="80" spans="1:10" x14ac:dyDescent="0.3">
      <c r="A80" s="13"/>
      <c r="B80" s="14" t="str">
        <f t="shared" si="1"/>
        <v/>
      </c>
      <c r="C80" s="14"/>
      <c r="D80" s="14"/>
      <c r="E80" s="14"/>
      <c r="F80" s="16"/>
      <c r="G80" s="14" t="s">
        <v>34</v>
      </c>
      <c r="H80" s="14" t="s">
        <v>35</v>
      </c>
      <c r="I80" s="14" t="s">
        <v>36</v>
      </c>
      <c r="J80" s="14"/>
    </row>
    <row r="81" spans="1:10" x14ac:dyDescent="0.3">
      <c r="A81" s="13"/>
      <c r="B81" s="14" t="str">
        <f t="shared" si="1"/>
        <v/>
      </c>
      <c r="C81" s="14"/>
      <c r="D81" s="14"/>
      <c r="E81" s="14"/>
      <c r="F81" s="16"/>
      <c r="G81" s="14" t="s">
        <v>34</v>
      </c>
      <c r="H81" s="14" t="s">
        <v>35</v>
      </c>
      <c r="I81" s="14" t="s">
        <v>36</v>
      </c>
      <c r="J81" s="14"/>
    </row>
    <row r="82" spans="1:10" x14ac:dyDescent="0.3">
      <c r="A82" s="13"/>
      <c r="B82" s="14" t="str">
        <f t="shared" si="1"/>
        <v/>
      </c>
      <c r="C82" s="14"/>
      <c r="D82" s="14"/>
      <c r="E82" s="14"/>
      <c r="F82" s="16"/>
      <c r="G82" s="14" t="s">
        <v>34</v>
      </c>
      <c r="H82" s="14" t="s">
        <v>35</v>
      </c>
      <c r="I82" s="14" t="s">
        <v>36</v>
      </c>
      <c r="J82" s="14"/>
    </row>
    <row r="83" spans="1:10" x14ac:dyDescent="0.3">
      <c r="A83" s="13"/>
      <c r="B83" s="14" t="str">
        <f t="shared" si="1"/>
        <v/>
      </c>
      <c r="C83" s="14"/>
      <c r="D83" s="14"/>
      <c r="E83" s="14"/>
      <c r="F83" s="16"/>
      <c r="G83" s="14" t="s">
        <v>34</v>
      </c>
      <c r="H83" s="14" t="s">
        <v>35</v>
      </c>
      <c r="I83" s="14" t="s">
        <v>36</v>
      </c>
      <c r="J83" s="14"/>
    </row>
    <row r="84" spans="1:10" x14ac:dyDescent="0.3">
      <c r="A84" s="13"/>
      <c r="B84" s="14" t="str">
        <f t="shared" si="1"/>
        <v/>
      </c>
      <c r="C84" s="14"/>
      <c r="D84" s="14"/>
      <c r="E84" s="14"/>
      <c r="F84" s="16"/>
      <c r="G84" s="14" t="s">
        <v>34</v>
      </c>
      <c r="H84" s="14" t="s">
        <v>35</v>
      </c>
      <c r="I84" s="14" t="s">
        <v>36</v>
      </c>
      <c r="J84" s="14"/>
    </row>
    <row r="85" spans="1:10" x14ac:dyDescent="0.3">
      <c r="A85" s="13"/>
      <c r="B85" s="14" t="str">
        <f t="shared" si="1"/>
        <v/>
      </c>
      <c r="C85" s="14"/>
      <c r="D85" s="14"/>
      <c r="E85" s="14"/>
      <c r="F85" s="16"/>
      <c r="G85" s="14" t="s">
        <v>34</v>
      </c>
      <c r="H85" s="14" t="s">
        <v>35</v>
      </c>
      <c r="I85" s="14" t="s">
        <v>36</v>
      </c>
      <c r="J85" s="14"/>
    </row>
    <row r="86" spans="1:10" x14ac:dyDescent="0.3">
      <c r="A86" s="13"/>
      <c r="B86" s="14" t="str">
        <f t="shared" si="1"/>
        <v/>
      </c>
      <c r="C86" s="14"/>
      <c r="D86" s="14"/>
      <c r="E86" s="14"/>
      <c r="F86" s="16"/>
      <c r="G86" s="14" t="s">
        <v>34</v>
      </c>
      <c r="H86" s="14" t="s">
        <v>35</v>
      </c>
      <c r="I86" s="14" t="s">
        <v>36</v>
      </c>
      <c r="J86" s="14"/>
    </row>
    <row r="87" spans="1:10" x14ac:dyDescent="0.3">
      <c r="A87" s="13"/>
      <c r="B87" s="14" t="str">
        <f t="shared" si="1"/>
        <v/>
      </c>
      <c r="C87" s="14"/>
      <c r="D87" s="14"/>
      <c r="E87" s="14"/>
      <c r="F87" s="16"/>
      <c r="G87" s="14" t="s">
        <v>34</v>
      </c>
      <c r="H87" s="14" t="s">
        <v>35</v>
      </c>
      <c r="I87" s="14" t="s">
        <v>36</v>
      </c>
      <c r="J87" s="14"/>
    </row>
    <row r="88" spans="1:10" x14ac:dyDescent="0.3">
      <c r="A88" s="13"/>
      <c r="B88" s="14" t="str">
        <f t="shared" si="1"/>
        <v/>
      </c>
      <c r="C88" s="14"/>
      <c r="D88" s="14"/>
      <c r="E88" s="14"/>
      <c r="F88" s="16"/>
      <c r="G88" s="14" t="s">
        <v>34</v>
      </c>
      <c r="H88" s="14" t="s">
        <v>35</v>
      </c>
      <c r="I88" s="14" t="s">
        <v>36</v>
      </c>
      <c r="J88" s="14"/>
    </row>
    <row r="89" spans="1:10" x14ac:dyDescent="0.3">
      <c r="A89" s="13"/>
      <c r="B89" s="14" t="str">
        <f t="shared" si="1"/>
        <v/>
      </c>
      <c r="C89" s="14"/>
      <c r="D89" s="14"/>
      <c r="E89" s="14"/>
      <c r="F89" s="16"/>
      <c r="G89" s="14" t="s">
        <v>34</v>
      </c>
      <c r="H89" s="14" t="s">
        <v>35</v>
      </c>
      <c r="I89" s="14" t="s">
        <v>36</v>
      </c>
      <c r="J89" s="14"/>
    </row>
    <row r="90" spans="1:10" x14ac:dyDescent="0.3">
      <c r="A90" s="13"/>
      <c r="B90" s="14" t="str">
        <f t="shared" si="1"/>
        <v/>
      </c>
      <c r="C90" s="14"/>
      <c r="D90" s="14"/>
      <c r="E90" s="14"/>
      <c r="F90" s="16"/>
      <c r="G90" s="14" t="s">
        <v>34</v>
      </c>
      <c r="H90" s="14" t="s">
        <v>35</v>
      </c>
      <c r="I90" s="14" t="s">
        <v>36</v>
      </c>
      <c r="J90" s="14"/>
    </row>
    <row r="91" spans="1:10" x14ac:dyDescent="0.3">
      <c r="A91" s="13"/>
      <c r="B91" s="14" t="str">
        <f t="shared" si="1"/>
        <v/>
      </c>
      <c r="C91" s="14"/>
      <c r="D91" s="14"/>
      <c r="E91" s="14"/>
      <c r="F91" s="16"/>
      <c r="G91" s="14" t="s">
        <v>34</v>
      </c>
      <c r="H91" s="14" t="s">
        <v>35</v>
      </c>
      <c r="I91" s="14" t="s">
        <v>36</v>
      </c>
      <c r="J91" s="14"/>
    </row>
    <row r="92" spans="1:10" x14ac:dyDescent="0.3">
      <c r="A92" s="13"/>
      <c r="B92" s="14" t="str">
        <f t="shared" si="1"/>
        <v/>
      </c>
      <c r="C92" s="14"/>
      <c r="D92" s="14"/>
      <c r="E92" s="14"/>
      <c r="F92" s="16"/>
      <c r="G92" s="14" t="s">
        <v>34</v>
      </c>
      <c r="H92" s="14" t="s">
        <v>35</v>
      </c>
      <c r="I92" s="14" t="s">
        <v>36</v>
      </c>
      <c r="J92" s="14"/>
    </row>
    <row r="93" spans="1:10" x14ac:dyDescent="0.3">
      <c r="A93" s="13"/>
      <c r="B93" s="14" t="str">
        <f t="shared" si="1"/>
        <v/>
      </c>
      <c r="C93" s="14"/>
      <c r="D93" s="14"/>
      <c r="E93" s="14"/>
      <c r="F93" s="16"/>
      <c r="G93" s="14" t="s">
        <v>34</v>
      </c>
      <c r="H93" s="14" t="s">
        <v>35</v>
      </c>
      <c r="I93" s="14" t="s">
        <v>36</v>
      </c>
      <c r="J93" s="14"/>
    </row>
    <row r="94" spans="1:10" x14ac:dyDescent="0.3">
      <c r="A94" s="13"/>
      <c r="B94" s="14" t="str">
        <f t="shared" si="1"/>
        <v/>
      </c>
      <c r="C94" s="14"/>
      <c r="D94" s="14"/>
      <c r="E94" s="14"/>
      <c r="F94" s="16"/>
      <c r="G94" s="14" t="s">
        <v>34</v>
      </c>
      <c r="H94" s="14" t="s">
        <v>35</v>
      </c>
      <c r="I94" s="14" t="s">
        <v>36</v>
      </c>
      <c r="J94" s="14"/>
    </row>
    <row r="95" spans="1:10" x14ac:dyDescent="0.3">
      <c r="A95" s="13"/>
      <c r="B95" s="14" t="str">
        <f t="shared" si="1"/>
        <v/>
      </c>
      <c r="C95" s="14"/>
      <c r="D95" s="14"/>
      <c r="E95" s="14"/>
      <c r="F95" s="16"/>
      <c r="G95" s="14" t="s">
        <v>34</v>
      </c>
      <c r="H95" s="14" t="s">
        <v>35</v>
      </c>
      <c r="I95" s="14" t="s">
        <v>36</v>
      </c>
      <c r="J95" s="14"/>
    </row>
    <row r="96" spans="1:10" x14ac:dyDescent="0.3">
      <c r="A96" s="13"/>
      <c r="B96" s="14" t="str">
        <f t="shared" si="1"/>
        <v/>
      </c>
      <c r="C96" s="14"/>
      <c r="D96" s="14"/>
      <c r="E96" s="14"/>
      <c r="F96" s="16"/>
      <c r="G96" s="14" t="s">
        <v>34</v>
      </c>
      <c r="H96" s="14" t="s">
        <v>35</v>
      </c>
      <c r="I96" s="14" t="s">
        <v>36</v>
      </c>
      <c r="J96" s="14"/>
    </row>
    <row r="97" spans="1:10" x14ac:dyDescent="0.3">
      <c r="A97" s="13"/>
      <c r="B97" s="14" t="str">
        <f t="shared" si="1"/>
        <v/>
      </c>
      <c r="C97" s="14"/>
      <c r="D97" s="14"/>
      <c r="E97" s="14"/>
      <c r="F97" s="16"/>
      <c r="G97" s="14" t="s">
        <v>34</v>
      </c>
      <c r="H97" s="14" t="s">
        <v>35</v>
      </c>
      <c r="I97" s="14" t="s">
        <v>36</v>
      </c>
      <c r="J97" s="14"/>
    </row>
    <row r="98" spans="1:10" x14ac:dyDescent="0.3">
      <c r="A98" s="13"/>
      <c r="B98" s="14" t="str">
        <f t="shared" si="1"/>
        <v/>
      </c>
      <c r="C98" s="14"/>
      <c r="D98" s="14"/>
      <c r="E98" s="14"/>
      <c r="F98" s="16"/>
      <c r="G98" s="14" t="s">
        <v>34</v>
      </c>
      <c r="H98" s="14" t="s">
        <v>35</v>
      </c>
      <c r="I98" s="14" t="s">
        <v>36</v>
      </c>
      <c r="J98" s="14"/>
    </row>
    <row r="99" spans="1:10" x14ac:dyDescent="0.3">
      <c r="A99" s="13"/>
      <c r="B99" s="14" t="str">
        <f t="shared" si="1"/>
        <v/>
      </c>
      <c r="C99" s="14"/>
      <c r="D99" s="14"/>
      <c r="E99" s="14"/>
      <c r="F99" s="16"/>
      <c r="G99" s="14" t="s">
        <v>34</v>
      </c>
      <c r="H99" s="14" t="s">
        <v>35</v>
      </c>
      <c r="I99" s="14" t="s">
        <v>36</v>
      </c>
      <c r="J99" s="14"/>
    </row>
    <row r="100" spans="1:10" x14ac:dyDescent="0.3">
      <c r="A100" s="13"/>
      <c r="B100" s="14" t="str">
        <f t="shared" si="1"/>
        <v/>
      </c>
      <c r="C100" s="14"/>
      <c r="D100" s="14"/>
      <c r="E100" s="14"/>
      <c r="F100" s="16"/>
      <c r="G100" s="14" t="s">
        <v>34</v>
      </c>
      <c r="H100" s="14" t="s">
        <v>35</v>
      </c>
      <c r="I100" s="14" t="s">
        <v>36</v>
      </c>
      <c r="J100" s="14"/>
    </row>
    <row r="101" spans="1:10" x14ac:dyDescent="0.3">
      <c r="A101" s="13"/>
      <c r="B101" s="14" t="str">
        <f t="shared" si="1"/>
        <v/>
      </c>
      <c r="C101" s="14"/>
      <c r="D101" s="14"/>
      <c r="E101" s="14"/>
      <c r="F101" s="16"/>
      <c r="G101" s="14" t="s">
        <v>34</v>
      </c>
      <c r="H101" s="14" t="s">
        <v>35</v>
      </c>
      <c r="I101" s="14" t="s">
        <v>36</v>
      </c>
      <c r="J101" s="14"/>
    </row>
    <row r="102" spans="1:10" x14ac:dyDescent="0.3">
      <c r="A102" s="13"/>
      <c r="B102" s="14" t="str">
        <f t="shared" si="1"/>
        <v/>
      </c>
      <c r="C102" s="14"/>
      <c r="D102" s="14"/>
      <c r="E102" s="14"/>
      <c r="F102" s="16"/>
      <c r="G102" s="14" t="s">
        <v>34</v>
      </c>
      <c r="H102" s="14" t="s">
        <v>35</v>
      </c>
      <c r="I102" s="14" t="s">
        <v>36</v>
      </c>
      <c r="J102" s="14"/>
    </row>
    <row r="103" spans="1:10" x14ac:dyDescent="0.3">
      <c r="A103" s="13"/>
      <c r="B103" s="14" t="str">
        <f t="shared" si="1"/>
        <v/>
      </c>
      <c r="C103" s="14"/>
      <c r="D103" s="14"/>
      <c r="E103" s="14"/>
      <c r="F103" s="16"/>
      <c r="G103" s="14" t="s">
        <v>34</v>
      </c>
      <c r="H103" s="14" t="s">
        <v>35</v>
      </c>
      <c r="I103" s="14" t="s">
        <v>36</v>
      </c>
      <c r="J103" s="14"/>
    </row>
    <row r="104" spans="1:10" x14ac:dyDescent="0.3">
      <c r="A104" s="13"/>
      <c r="B104" s="14" t="str">
        <f t="shared" si="1"/>
        <v/>
      </c>
      <c r="C104" s="14"/>
      <c r="D104" s="14"/>
      <c r="E104" s="14"/>
      <c r="F104" s="16"/>
      <c r="G104" s="14" t="s">
        <v>34</v>
      </c>
      <c r="H104" s="14" t="s">
        <v>35</v>
      </c>
      <c r="I104" s="14" t="s">
        <v>36</v>
      </c>
      <c r="J104" s="14"/>
    </row>
    <row r="105" spans="1:10" x14ac:dyDescent="0.3">
      <c r="A105" s="13"/>
      <c r="B105" s="14" t="str">
        <f t="shared" si="1"/>
        <v/>
      </c>
      <c r="C105" s="14"/>
      <c r="D105" s="14"/>
      <c r="E105" s="14"/>
      <c r="F105" s="16"/>
      <c r="G105" s="14" t="s">
        <v>34</v>
      </c>
      <c r="H105" s="14" t="s">
        <v>35</v>
      </c>
      <c r="I105" s="14" t="s">
        <v>36</v>
      </c>
      <c r="J105" s="14"/>
    </row>
    <row r="106" spans="1:10" x14ac:dyDescent="0.3">
      <c r="A106" s="13"/>
      <c r="B106" s="14" t="str">
        <f t="shared" si="1"/>
        <v/>
      </c>
      <c r="C106" s="14"/>
      <c r="D106" s="14"/>
      <c r="E106" s="14"/>
      <c r="F106" s="16"/>
      <c r="G106" s="14" t="s">
        <v>34</v>
      </c>
      <c r="H106" s="14" t="s">
        <v>35</v>
      </c>
      <c r="I106" s="14" t="s">
        <v>36</v>
      </c>
      <c r="J106" s="14"/>
    </row>
    <row r="107" spans="1:10" x14ac:dyDescent="0.3">
      <c r="A107" s="13"/>
      <c r="B107" s="14" t="str">
        <f t="shared" si="1"/>
        <v/>
      </c>
      <c r="C107" s="14"/>
      <c r="D107" s="14"/>
      <c r="E107" s="14"/>
      <c r="F107" s="16"/>
      <c r="G107" s="14" t="s">
        <v>34</v>
      </c>
      <c r="H107" s="14" t="s">
        <v>35</v>
      </c>
      <c r="I107" s="14" t="s">
        <v>36</v>
      </c>
      <c r="J107" s="14"/>
    </row>
    <row r="108" spans="1:10" x14ac:dyDescent="0.3">
      <c r="A108" s="13"/>
      <c r="B108" s="14" t="str">
        <f t="shared" si="1"/>
        <v/>
      </c>
      <c r="C108" s="14"/>
      <c r="D108" s="14"/>
      <c r="E108" s="14"/>
      <c r="F108" s="16"/>
      <c r="G108" s="14" t="s">
        <v>34</v>
      </c>
      <c r="H108" s="14" t="s">
        <v>35</v>
      </c>
      <c r="I108" s="14" t="s">
        <v>36</v>
      </c>
      <c r="J108" s="14"/>
    </row>
    <row r="109" spans="1:10" x14ac:dyDescent="0.3">
      <c r="A109" s="13"/>
      <c r="B109" s="14" t="str">
        <f t="shared" si="1"/>
        <v/>
      </c>
      <c r="C109" s="14"/>
      <c r="D109" s="14"/>
      <c r="E109" s="14"/>
      <c r="F109" s="16"/>
      <c r="G109" s="14" t="s">
        <v>34</v>
      </c>
      <c r="H109" s="14" t="s">
        <v>35</v>
      </c>
      <c r="I109" s="14" t="s">
        <v>36</v>
      </c>
      <c r="J109" s="14"/>
    </row>
    <row r="110" spans="1:10" x14ac:dyDescent="0.3">
      <c r="A110" s="13"/>
      <c r="B110" s="14" t="str">
        <f t="shared" si="1"/>
        <v/>
      </c>
      <c r="C110" s="14"/>
      <c r="D110" s="14"/>
      <c r="E110" s="14"/>
      <c r="F110" s="16"/>
      <c r="G110" s="14" t="s">
        <v>34</v>
      </c>
      <c r="H110" s="14" t="s">
        <v>35</v>
      </c>
      <c r="I110" s="14" t="s">
        <v>36</v>
      </c>
      <c r="J110" s="14"/>
    </row>
    <row r="111" spans="1:10" x14ac:dyDescent="0.3">
      <c r="A111" s="13"/>
      <c r="B111" s="14" t="str">
        <f t="shared" si="1"/>
        <v/>
      </c>
      <c r="C111" s="14"/>
      <c r="D111" s="14"/>
      <c r="E111" s="14"/>
      <c r="F111" s="16"/>
      <c r="G111" s="14" t="s">
        <v>34</v>
      </c>
      <c r="H111" s="14" t="s">
        <v>35</v>
      </c>
      <c r="I111" s="14" t="s">
        <v>36</v>
      </c>
      <c r="J111" s="14"/>
    </row>
    <row r="112" spans="1:10" x14ac:dyDescent="0.3">
      <c r="A112" s="13"/>
      <c r="B112" s="14" t="str">
        <f t="shared" si="1"/>
        <v/>
      </c>
      <c r="C112" s="14"/>
      <c r="D112" s="14"/>
      <c r="E112" s="14"/>
      <c r="F112" s="16"/>
      <c r="G112" s="14" t="s">
        <v>34</v>
      </c>
      <c r="H112" s="14" t="s">
        <v>35</v>
      </c>
      <c r="I112" s="14" t="s">
        <v>36</v>
      </c>
      <c r="J112" s="14"/>
    </row>
    <row r="113" spans="1:10" x14ac:dyDescent="0.3">
      <c r="A113" s="13"/>
      <c r="B113" s="14" t="str">
        <f t="shared" si="1"/>
        <v/>
      </c>
      <c r="C113" s="14"/>
      <c r="D113" s="14"/>
      <c r="E113" s="14"/>
      <c r="F113" s="16"/>
      <c r="G113" s="14" t="s">
        <v>34</v>
      </c>
      <c r="H113" s="14" t="s">
        <v>35</v>
      </c>
      <c r="I113" s="14" t="s">
        <v>36</v>
      </c>
      <c r="J113" s="14"/>
    </row>
    <row r="114" spans="1:10" x14ac:dyDescent="0.3">
      <c r="A114" s="13"/>
      <c r="B114" s="14" t="str">
        <f t="shared" si="1"/>
        <v/>
      </c>
      <c r="C114" s="14"/>
      <c r="D114" s="14"/>
      <c r="E114" s="14"/>
      <c r="F114" s="16"/>
      <c r="G114" s="14" t="s">
        <v>34</v>
      </c>
      <c r="H114" s="14" t="s">
        <v>35</v>
      </c>
      <c r="I114" s="14" t="s">
        <v>36</v>
      </c>
      <c r="J114" s="14"/>
    </row>
    <row r="115" spans="1:10" x14ac:dyDescent="0.3">
      <c r="A115" s="13"/>
      <c r="B115" s="14" t="str">
        <f t="shared" si="1"/>
        <v/>
      </c>
      <c r="C115" s="14"/>
      <c r="D115" s="14"/>
      <c r="E115" s="14"/>
      <c r="F115" s="16"/>
      <c r="G115" s="14" t="s">
        <v>34</v>
      </c>
      <c r="H115" s="14" t="s">
        <v>35</v>
      </c>
      <c r="I115" s="14" t="s">
        <v>36</v>
      </c>
      <c r="J115" s="14"/>
    </row>
    <row r="116" spans="1:10" x14ac:dyDescent="0.3">
      <c r="A116" s="13"/>
      <c r="B116" s="14" t="str">
        <f t="shared" si="1"/>
        <v/>
      </c>
      <c r="C116" s="14"/>
      <c r="D116" s="14"/>
      <c r="E116" s="14"/>
      <c r="F116" s="16"/>
      <c r="G116" s="14" t="s">
        <v>34</v>
      </c>
      <c r="H116" s="14" t="s">
        <v>35</v>
      </c>
      <c r="I116" s="14" t="s">
        <v>36</v>
      </c>
      <c r="J116" s="14"/>
    </row>
    <row r="117" spans="1:10" x14ac:dyDescent="0.3">
      <c r="A117" s="13"/>
      <c r="B117" s="14" t="str">
        <f t="shared" si="1"/>
        <v/>
      </c>
      <c r="C117" s="14"/>
      <c r="D117" s="14"/>
      <c r="E117" s="14"/>
      <c r="F117" s="16"/>
      <c r="G117" s="14" t="s">
        <v>34</v>
      </c>
      <c r="H117" s="14" t="s">
        <v>35</v>
      </c>
      <c r="I117" s="14" t="s">
        <v>36</v>
      </c>
      <c r="J117" s="14"/>
    </row>
    <row r="118" spans="1:10" x14ac:dyDescent="0.3">
      <c r="A118" s="13"/>
      <c r="B118" s="14" t="str">
        <f t="shared" si="1"/>
        <v/>
      </c>
      <c r="C118" s="14"/>
      <c r="D118" s="14"/>
      <c r="E118" s="14"/>
      <c r="F118" s="16"/>
      <c r="G118" s="14" t="s">
        <v>34</v>
      </c>
      <c r="H118" s="14" t="s">
        <v>35</v>
      </c>
      <c r="I118" s="14" t="s">
        <v>36</v>
      </c>
      <c r="J118" s="14"/>
    </row>
    <row r="119" spans="1:10" x14ac:dyDescent="0.3">
      <c r="A119" s="13"/>
      <c r="B119" s="14" t="str">
        <f t="shared" si="1"/>
        <v/>
      </c>
      <c r="C119" s="14"/>
      <c r="D119" s="14"/>
      <c r="E119" s="14"/>
      <c r="F119" s="16"/>
      <c r="G119" s="14" t="s">
        <v>34</v>
      </c>
      <c r="H119" s="14" t="s">
        <v>35</v>
      </c>
      <c r="I119" s="14" t="s">
        <v>36</v>
      </c>
      <c r="J119" s="14"/>
    </row>
    <row r="120" spans="1:10" x14ac:dyDescent="0.3">
      <c r="A120" s="13"/>
      <c r="B120" s="14" t="str">
        <f t="shared" si="1"/>
        <v/>
      </c>
      <c r="C120" s="14"/>
      <c r="D120" s="14"/>
      <c r="E120" s="14"/>
      <c r="F120" s="16"/>
      <c r="G120" s="14" t="s">
        <v>34</v>
      </c>
      <c r="H120" s="14" t="s">
        <v>35</v>
      </c>
      <c r="I120" s="14" t="s">
        <v>36</v>
      </c>
      <c r="J120" s="14"/>
    </row>
    <row r="121" spans="1:10" x14ac:dyDescent="0.3">
      <c r="A121" s="13"/>
      <c r="B121" s="14" t="str">
        <f t="shared" si="1"/>
        <v/>
      </c>
      <c r="C121" s="14"/>
      <c r="D121" s="14"/>
      <c r="E121" s="14"/>
      <c r="F121" s="16"/>
      <c r="G121" s="14" t="s">
        <v>34</v>
      </c>
      <c r="H121" s="14" t="s">
        <v>35</v>
      </c>
      <c r="I121" s="14" t="s">
        <v>36</v>
      </c>
      <c r="J121" s="14"/>
    </row>
    <row r="122" spans="1:10" x14ac:dyDescent="0.3">
      <c r="A122" s="13"/>
      <c r="B122" s="14" t="str">
        <f t="shared" si="1"/>
        <v/>
      </c>
      <c r="C122" s="14"/>
      <c r="D122" s="14"/>
      <c r="E122" s="14"/>
      <c r="F122" s="16"/>
      <c r="G122" s="14" t="s">
        <v>34</v>
      </c>
      <c r="H122" s="14" t="s">
        <v>35</v>
      </c>
      <c r="I122" s="14" t="s">
        <v>36</v>
      </c>
      <c r="J122" s="14"/>
    </row>
    <row r="123" spans="1:10" x14ac:dyDescent="0.3">
      <c r="A123" s="13"/>
      <c r="B123" s="14" t="str">
        <f t="shared" si="1"/>
        <v/>
      </c>
      <c r="C123" s="14"/>
      <c r="D123" s="14"/>
      <c r="E123" s="14"/>
      <c r="F123" s="16"/>
      <c r="G123" s="14" t="s">
        <v>34</v>
      </c>
      <c r="H123" s="14" t="s">
        <v>35</v>
      </c>
      <c r="I123" s="14" t="s">
        <v>36</v>
      </c>
      <c r="J123" s="14"/>
    </row>
    <row r="124" spans="1:10" x14ac:dyDescent="0.3">
      <c r="A124" s="13"/>
      <c r="B124" s="14" t="str">
        <f t="shared" si="1"/>
        <v/>
      </c>
      <c r="C124" s="14"/>
      <c r="D124" s="14"/>
      <c r="E124" s="14"/>
      <c r="F124" s="16"/>
      <c r="G124" s="14" t="s">
        <v>34</v>
      </c>
      <c r="H124" s="14" t="s">
        <v>35</v>
      </c>
      <c r="I124" s="14" t="s">
        <v>36</v>
      </c>
      <c r="J124" s="14"/>
    </row>
    <row r="125" spans="1:10" x14ac:dyDescent="0.3">
      <c r="A125" s="13"/>
      <c r="B125" s="14" t="str">
        <f t="shared" si="1"/>
        <v/>
      </c>
      <c r="C125" s="14"/>
      <c r="D125" s="14"/>
      <c r="E125" s="14"/>
      <c r="F125" s="16"/>
      <c r="G125" s="14" t="s">
        <v>34</v>
      </c>
      <c r="H125" s="14" t="s">
        <v>35</v>
      </c>
      <c r="I125" s="14" t="s">
        <v>36</v>
      </c>
      <c r="J125" s="14"/>
    </row>
    <row r="126" spans="1:10" x14ac:dyDescent="0.3">
      <c r="A126" s="13"/>
      <c r="B126" s="14" t="str">
        <f t="shared" si="1"/>
        <v/>
      </c>
      <c r="C126" s="14"/>
      <c r="D126" s="14"/>
      <c r="E126" s="14"/>
      <c r="F126" s="16"/>
      <c r="G126" s="14" t="s">
        <v>34</v>
      </c>
      <c r="H126" s="14" t="s">
        <v>35</v>
      </c>
      <c r="I126" s="14" t="s">
        <v>36</v>
      </c>
      <c r="J126" s="14"/>
    </row>
    <row r="127" spans="1:10" x14ac:dyDescent="0.3">
      <c r="A127" s="13"/>
      <c r="B127" s="14" t="str">
        <f t="shared" si="1"/>
        <v/>
      </c>
      <c r="C127" s="14"/>
      <c r="D127" s="14"/>
      <c r="E127" s="14"/>
      <c r="F127" s="16"/>
      <c r="G127" s="14" t="s">
        <v>34</v>
      </c>
      <c r="H127" s="14" t="s">
        <v>35</v>
      </c>
      <c r="I127" s="14" t="s">
        <v>36</v>
      </c>
      <c r="J127" s="14"/>
    </row>
    <row r="128" spans="1:10" x14ac:dyDescent="0.3">
      <c r="A128" s="13"/>
      <c r="B128" s="14" t="str">
        <f t="shared" si="1"/>
        <v/>
      </c>
      <c r="C128" s="14"/>
      <c r="D128" s="14"/>
      <c r="E128" s="14"/>
      <c r="F128" s="16"/>
      <c r="G128" s="14" t="s">
        <v>34</v>
      </c>
      <c r="H128" s="14" t="s">
        <v>35</v>
      </c>
      <c r="I128" s="14" t="s">
        <v>36</v>
      </c>
      <c r="J128" s="14"/>
    </row>
    <row r="129" spans="1:10" x14ac:dyDescent="0.3">
      <c r="A129" s="13"/>
      <c r="B129" s="14" t="str">
        <f t="shared" si="1"/>
        <v/>
      </c>
      <c r="C129" s="14"/>
      <c r="D129" s="14"/>
      <c r="E129" s="14"/>
      <c r="F129" s="16"/>
      <c r="G129" s="14" t="s">
        <v>34</v>
      </c>
      <c r="H129" s="14" t="s">
        <v>35</v>
      </c>
      <c r="I129" s="14" t="s">
        <v>36</v>
      </c>
      <c r="J129" s="14"/>
    </row>
    <row r="130" spans="1:10" x14ac:dyDescent="0.3">
      <c r="A130" s="13"/>
      <c r="B130" s="14" t="str">
        <f t="shared" ref="B130:B193" si="2">IF(A130="","", "I"&amp;TEXT(A130,"yymmdd")&amp;"-"&amp;TEXT(ROW()-1,"0000"))</f>
        <v/>
      </c>
      <c r="C130" s="14"/>
      <c r="D130" s="14"/>
      <c r="E130" s="14"/>
      <c r="F130" s="16"/>
      <c r="G130" s="14" t="s">
        <v>34</v>
      </c>
      <c r="H130" s="14" t="s">
        <v>35</v>
      </c>
      <c r="I130" s="14" t="s">
        <v>36</v>
      </c>
      <c r="J130" s="14"/>
    </row>
    <row r="131" spans="1:10" x14ac:dyDescent="0.3">
      <c r="A131" s="13"/>
      <c r="B131" s="14" t="str">
        <f t="shared" si="2"/>
        <v/>
      </c>
      <c r="C131" s="14"/>
      <c r="D131" s="14"/>
      <c r="E131" s="14"/>
      <c r="F131" s="16"/>
      <c r="G131" s="14" t="s">
        <v>34</v>
      </c>
      <c r="H131" s="14" t="s">
        <v>35</v>
      </c>
      <c r="I131" s="14" t="s">
        <v>36</v>
      </c>
      <c r="J131" s="14"/>
    </row>
    <row r="132" spans="1:10" x14ac:dyDescent="0.3">
      <c r="A132" s="13"/>
      <c r="B132" s="14" t="str">
        <f t="shared" si="2"/>
        <v/>
      </c>
      <c r="C132" s="14"/>
      <c r="D132" s="14"/>
      <c r="E132" s="14"/>
      <c r="F132" s="16"/>
      <c r="G132" s="14" t="s">
        <v>34</v>
      </c>
      <c r="H132" s="14" t="s">
        <v>35</v>
      </c>
      <c r="I132" s="14" t="s">
        <v>36</v>
      </c>
      <c r="J132" s="14"/>
    </row>
    <row r="133" spans="1:10" x14ac:dyDescent="0.3">
      <c r="A133" s="13"/>
      <c r="B133" s="14" t="str">
        <f t="shared" si="2"/>
        <v/>
      </c>
      <c r="C133" s="14"/>
      <c r="D133" s="14"/>
      <c r="E133" s="14"/>
      <c r="F133" s="16"/>
      <c r="G133" s="14" t="s">
        <v>34</v>
      </c>
      <c r="H133" s="14" t="s">
        <v>35</v>
      </c>
      <c r="I133" s="14" t="s">
        <v>36</v>
      </c>
      <c r="J133" s="14"/>
    </row>
    <row r="134" spans="1:10" x14ac:dyDescent="0.3">
      <c r="A134" s="13"/>
      <c r="B134" s="14" t="str">
        <f t="shared" si="2"/>
        <v/>
      </c>
      <c r="C134" s="14"/>
      <c r="D134" s="14"/>
      <c r="E134" s="14"/>
      <c r="F134" s="16"/>
      <c r="G134" s="14" t="s">
        <v>34</v>
      </c>
      <c r="H134" s="14" t="s">
        <v>35</v>
      </c>
      <c r="I134" s="14" t="s">
        <v>36</v>
      </c>
      <c r="J134" s="14"/>
    </row>
    <row r="135" spans="1:10" x14ac:dyDescent="0.3">
      <c r="A135" s="13"/>
      <c r="B135" s="14" t="str">
        <f t="shared" si="2"/>
        <v/>
      </c>
      <c r="C135" s="14"/>
      <c r="D135" s="14"/>
      <c r="E135" s="14"/>
      <c r="F135" s="16"/>
      <c r="G135" s="14" t="s">
        <v>34</v>
      </c>
      <c r="H135" s="14" t="s">
        <v>35</v>
      </c>
      <c r="I135" s="14" t="s">
        <v>36</v>
      </c>
      <c r="J135" s="14"/>
    </row>
    <row r="136" spans="1:10" x14ac:dyDescent="0.3">
      <c r="A136" s="13"/>
      <c r="B136" s="14" t="str">
        <f t="shared" si="2"/>
        <v/>
      </c>
      <c r="C136" s="14"/>
      <c r="D136" s="14"/>
      <c r="E136" s="14"/>
      <c r="F136" s="16"/>
      <c r="G136" s="14" t="s">
        <v>34</v>
      </c>
      <c r="H136" s="14" t="s">
        <v>35</v>
      </c>
      <c r="I136" s="14" t="s">
        <v>36</v>
      </c>
      <c r="J136" s="14"/>
    </row>
    <row r="137" spans="1:10" x14ac:dyDescent="0.3">
      <c r="A137" s="13"/>
      <c r="B137" s="14" t="str">
        <f t="shared" si="2"/>
        <v/>
      </c>
      <c r="C137" s="14"/>
      <c r="D137" s="14"/>
      <c r="E137" s="14"/>
      <c r="F137" s="16"/>
      <c r="G137" s="14" t="s">
        <v>34</v>
      </c>
      <c r="H137" s="14" t="s">
        <v>35</v>
      </c>
      <c r="I137" s="14" t="s">
        <v>36</v>
      </c>
      <c r="J137" s="14"/>
    </row>
    <row r="138" spans="1:10" x14ac:dyDescent="0.3">
      <c r="A138" s="13"/>
      <c r="B138" s="14" t="str">
        <f t="shared" si="2"/>
        <v/>
      </c>
      <c r="C138" s="14"/>
      <c r="D138" s="14"/>
      <c r="E138" s="14"/>
      <c r="F138" s="16"/>
      <c r="G138" s="14" t="s">
        <v>34</v>
      </c>
      <c r="H138" s="14" t="s">
        <v>35</v>
      </c>
      <c r="I138" s="14" t="s">
        <v>36</v>
      </c>
      <c r="J138" s="14"/>
    </row>
    <row r="139" spans="1:10" x14ac:dyDescent="0.3">
      <c r="A139" s="13"/>
      <c r="B139" s="14" t="str">
        <f t="shared" si="2"/>
        <v/>
      </c>
      <c r="C139" s="14"/>
      <c r="D139" s="14"/>
      <c r="E139" s="14"/>
      <c r="F139" s="16"/>
      <c r="G139" s="14" t="s">
        <v>34</v>
      </c>
      <c r="H139" s="14" t="s">
        <v>35</v>
      </c>
      <c r="I139" s="14" t="s">
        <v>36</v>
      </c>
      <c r="J139" s="14"/>
    </row>
    <row r="140" spans="1:10" x14ac:dyDescent="0.3">
      <c r="A140" s="13"/>
      <c r="B140" s="14" t="str">
        <f t="shared" si="2"/>
        <v/>
      </c>
      <c r="C140" s="14"/>
      <c r="D140" s="14"/>
      <c r="E140" s="14"/>
      <c r="F140" s="16"/>
      <c r="G140" s="14" t="s">
        <v>34</v>
      </c>
      <c r="H140" s="14" t="s">
        <v>35</v>
      </c>
      <c r="I140" s="14" t="s">
        <v>36</v>
      </c>
      <c r="J140" s="14"/>
    </row>
    <row r="141" spans="1:10" x14ac:dyDescent="0.3">
      <c r="A141" s="13"/>
      <c r="B141" s="14" t="str">
        <f t="shared" si="2"/>
        <v/>
      </c>
      <c r="C141" s="14"/>
      <c r="D141" s="14"/>
      <c r="E141" s="14"/>
      <c r="F141" s="16"/>
      <c r="G141" s="14" t="s">
        <v>34</v>
      </c>
      <c r="H141" s="14" t="s">
        <v>35</v>
      </c>
      <c r="I141" s="14" t="s">
        <v>36</v>
      </c>
      <c r="J141" s="14"/>
    </row>
    <row r="142" spans="1:10" x14ac:dyDescent="0.3">
      <c r="A142" s="13"/>
      <c r="B142" s="14" t="str">
        <f t="shared" si="2"/>
        <v/>
      </c>
      <c r="C142" s="14"/>
      <c r="D142" s="14"/>
      <c r="E142" s="14"/>
      <c r="F142" s="16"/>
      <c r="G142" s="14" t="s">
        <v>34</v>
      </c>
      <c r="H142" s="14" t="s">
        <v>35</v>
      </c>
      <c r="I142" s="14" t="s">
        <v>36</v>
      </c>
      <c r="J142" s="14"/>
    </row>
    <row r="143" spans="1:10" x14ac:dyDescent="0.3">
      <c r="A143" s="13"/>
      <c r="B143" s="14" t="str">
        <f t="shared" si="2"/>
        <v/>
      </c>
      <c r="C143" s="14"/>
      <c r="D143" s="14"/>
      <c r="E143" s="14"/>
      <c r="F143" s="16"/>
      <c r="G143" s="14" t="s">
        <v>34</v>
      </c>
      <c r="H143" s="14" t="s">
        <v>35</v>
      </c>
      <c r="I143" s="14" t="s">
        <v>36</v>
      </c>
      <c r="J143" s="14"/>
    </row>
    <row r="144" spans="1:10" x14ac:dyDescent="0.3">
      <c r="A144" s="13"/>
      <c r="B144" s="14" t="str">
        <f t="shared" si="2"/>
        <v/>
      </c>
      <c r="C144" s="14"/>
      <c r="D144" s="14"/>
      <c r="E144" s="14"/>
      <c r="F144" s="16"/>
      <c r="G144" s="14" t="s">
        <v>34</v>
      </c>
      <c r="H144" s="14" t="s">
        <v>35</v>
      </c>
      <c r="I144" s="14" t="s">
        <v>36</v>
      </c>
      <c r="J144" s="14"/>
    </row>
    <row r="145" spans="1:10" x14ac:dyDescent="0.3">
      <c r="A145" s="13"/>
      <c r="B145" s="14" t="str">
        <f t="shared" si="2"/>
        <v/>
      </c>
      <c r="C145" s="14"/>
      <c r="D145" s="14"/>
      <c r="E145" s="14"/>
      <c r="F145" s="16"/>
      <c r="G145" s="14" t="s">
        <v>34</v>
      </c>
      <c r="H145" s="14" t="s">
        <v>35</v>
      </c>
      <c r="I145" s="14" t="s">
        <v>36</v>
      </c>
      <c r="J145" s="14"/>
    </row>
    <row r="146" spans="1:10" x14ac:dyDescent="0.3">
      <c r="A146" s="13"/>
      <c r="B146" s="14" t="str">
        <f t="shared" si="2"/>
        <v/>
      </c>
      <c r="C146" s="14"/>
      <c r="D146" s="14"/>
      <c r="E146" s="14"/>
      <c r="F146" s="16"/>
      <c r="G146" s="14" t="s">
        <v>34</v>
      </c>
      <c r="H146" s="14" t="s">
        <v>35</v>
      </c>
      <c r="I146" s="14" t="s">
        <v>36</v>
      </c>
      <c r="J146" s="14"/>
    </row>
    <row r="147" spans="1:10" x14ac:dyDescent="0.3">
      <c r="A147" s="13"/>
      <c r="B147" s="14" t="str">
        <f t="shared" si="2"/>
        <v/>
      </c>
      <c r="C147" s="14"/>
      <c r="D147" s="14"/>
      <c r="E147" s="14"/>
      <c r="F147" s="16"/>
      <c r="G147" s="14" t="s">
        <v>34</v>
      </c>
      <c r="H147" s="14" t="s">
        <v>35</v>
      </c>
      <c r="I147" s="14" t="s">
        <v>36</v>
      </c>
      <c r="J147" s="14"/>
    </row>
    <row r="148" spans="1:10" x14ac:dyDescent="0.3">
      <c r="A148" s="13"/>
      <c r="B148" s="14" t="str">
        <f t="shared" si="2"/>
        <v/>
      </c>
      <c r="C148" s="14"/>
      <c r="D148" s="14"/>
      <c r="E148" s="14"/>
      <c r="F148" s="16"/>
      <c r="G148" s="14" t="s">
        <v>34</v>
      </c>
      <c r="H148" s="14" t="s">
        <v>35</v>
      </c>
      <c r="I148" s="14" t="s">
        <v>36</v>
      </c>
      <c r="J148" s="14"/>
    </row>
    <row r="149" spans="1:10" x14ac:dyDescent="0.3">
      <c r="A149" s="13"/>
      <c r="B149" s="14" t="str">
        <f t="shared" si="2"/>
        <v/>
      </c>
      <c r="C149" s="14"/>
      <c r="D149" s="14"/>
      <c r="E149" s="14"/>
      <c r="F149" s="16"/>
      <c r="G149" s="14" t="s">
        <v>34</v>
      </c>
      <c r="H149" s="14" t="s">
        <v>35</v>
      </c>
      <c r="I149" s="14" t="s">
        <v>36</v>
      </c>
      <c r="J149" s="14"/>
    </row>
    <row r="150" spans="1:10" x14ac:dyDescent="0.3">
      <c r="A150" s="13"/>
      <c r="B150" s="14" t="str">
        <f t="shared" si="2"/>
        <v/>
      </c>
      <c r="C150" s="14"/>
      <c r="D150" s="14"/>
      <c r="E150" s="14"/>
      <c r="F150" s="16"/>
      <c r="G150" s="14" t="s">
        <v>34</v>
      </c>
      <c r="H150" s="14" t="s">
        <v>35</v>
      </c>
      <c r="I150" s="14" t="s">
        <v>36</v>
      </c>
      <c r="J150" s="14"/>
    </row>
    <row r="151" spans="1:10" x14ac:dyDescent="0.3">
      <c r="A151" s="13"/>
      <c r="B151" s="14" t="str">
        <f t="shared" si="2"/>
        <v/>
      </c>
      <c r="C151" s="14"/>
      <c r="D151" s="14"/>
      <c r="E151" s="14"/>
      <c r="F151" s="16"/>
      <c r="G151" s="14" t="s">
        <v>34</v>
      </c>
      <c r="H151" s="14" t="s">
        <v>35</v>
      </c>
      <c r="I151" s="14" t="s">
        <v>36</v>
      </c>
      <c r="J151" s="14"/>
    </row>
    <row r="152" spans="1:10" x14ac:dyDescent="0.3">
      <c r="A152" s="13"/>
      <c r="B152" s="14" t="str">
        <f t="shared" si="2"/>
        <v/>
      </c>
      <c r="C152" s="14"/>
      <c r="D152" s="14"/>
      <c r="E152" s="14"/>
      <c r="F152" s="16"/>
      <c r="G152" s="14" t="s">
        <v>34</v>
      </c>
      <c r="H152" s="14" t="s">
        <v>35</v>
      </c>
      <c r="I152" s="14" t="s">
        <v>36</v>
      </c>
      <c r="J152" s="14"/>
    </row>
    <row r="153" spans="1:10" x14ac:dyDescent="0.3">
      <c r="A153" s="13"/>
      <c r="B153" s="14" t="str">
        <f t="shared" si="2"/>
        <v/>
      </c>
      <c r="C153" s="14"/>
      <c r="D153" s="14"/>
      <c r="E153" s="14"/>
      <c r="F153" s="16"/>
      <c r="G153" s="14" t="s">
        <v>34</v>
      </c>
      <c r="H153" s="14" t="s">
        <v>35</v>
      </c>
      <c r="I153" s="14" t="s">
        <v>36</v>
      </c>
      <c r="J153" s="14"/>
    </row>
    <row r="154" spans="1:10" x14ac:dyDescent="0.3">
      <c r="A154" s="13"/>
      <c r="B154" s="14" t="str">
        <f t="shared" si="2"/>
        <v/>
      </c>
      <c r="C154" s="14"/>
      <c r="D154" s="14"/>
      <c r="E154" s="14"/>
      <c r="F154" s="16"/>
      <c r="G154" s="14" t="s">
        <v>34</v>
      </c>
      <c r="H154" s="14" t="s">
        <v>35</v>
      </c>
      <c r="I154" s="14" t="s">
        <v>36</v>
      </c>
      <c r="J154" s="14"/>
    </row>
    <row r="155" spans="1:10" x14ac:dyDescent="0.3">
      <c r="A155" s="13"/>
      <c r="B155" s="14" t="str">
        <f t="shared" si="2"/>
        <v/>
      </c>
      <c r="C155" s="14"/>
      <c r="D155" s="14"/>
      <c r="E155" s="14"/>
      <c r="F155" s="16"/>
      <c r="G155" s="14" t="s">
        <v>34</v>
      </c>
      <c r="H155" s="14" t="s">
        <v>35</v>
      </c>
      <c r="I155" s="14" t="s">
        <v>36</v>
      </c>
      <c r="J155" s="14"/>
    </row>
    <row r="156" spans="1:10" x14ac:dyDescent="0.3">
      <c r="A156" s="13"/>
      <c r="B156" s="14" t="str">
        <f t="shared" si="2"/>
        <v/>
      </c>
      <c r="C156" s="14"/>
      <c r="D156" s="14"/>
      <c r="E156" s="14"/>
      <c r="F156" s="16"/>
      <c r="G156" s="14" t="s">
        <v>34</v>
      </c>
      <c r="H156" s="14" t="s">
        <v>35</v>
      </c>
      <c r="I156" s="14" t="s">
        <v>36</v>
      </c>
      <c r="J156" s="14"/>
    </row>
    <row r="157" spans="1:10" x14ac:dyDescent="0.3">
      <c r="A157" s="13"/>
      <c r="B157" s="14" t="str">
        <f t="shared" si="2"/>
        <v/>
      </c>
      <c r="C157" s="14"/>
      <c r="D157" s="14"/>
      <c r="E157" s="14"/>
      <c r="F157" s="16"/>
      <c r="G157" s="14" t="s">
        <v>34</v>
      </c>
      <c r="H157" s="14" t="s">
        <v>35</v>
      </c>
      <c r="I157" s="14" t="s">
        <v>36</v>
      </c>
      <c r="J157" s="14"/>
    </row>
    <row r="158" spans="1:10" x14ac:dyDescent="0.3">
      <c r="A158" s="13"/>
      <c r="B158" s="14" t="str">
        <f t="shared" si="2"/>
        <v/>
      </c>
      <c r="C158" s="14"/>
      <c r="D158" s="14"/>
      <c r="E158" s="14"/>
      <c r="F158" s="16"/>
      <c r="G158" s="14" t="s">
        <v>34</v>
      </c>
      <c r="H158" s="14" t="s">
        <v>35</v>
      </c>
      <c r="I158" s="14" t="s">
        <v>36</v>
      </c>
      <c r="J158" s="14"/>
    </row>
    <row r="159" spans="1:10" x14ac:dyDescent="0.3">
      <c r="A159" s="13"/>
      <c r="B159" s="14" t="str">
        <f t="shared" si="2"/>
        <v/>
      </c>
      <c r="C159" s="14"/>
      <c r="D159" s="14"/>
      <c r="E159" s="14"/>
      <c r="F159" s="16"/>
      <c r="G159" s="14" t="s">
        <v>34</v>
      </c>
      <c r="H159" s="14" t="s">
        <v>35</v>
      </c>
      <c r="I159" s="14" t="s">
        <v>36</v>
      </c>
      <c r="J159" s="14"/>
    </row>
    <row r="160" spans="1:10" x14ac:dyDescent="0.3">
      <c r="A160" s="13"/>
      <c r="B160" s="14" t="str">
        <f t="shared" si="2"/>
        <v/>
      </c>
      <c r="C160" s="14"/>
      <c r="D160" s="14"/>
      <c r="E160" s="14"/>
      <c r="F160" s="16"/>
      <c r="G160" s="14" t="s">
        <v>34</v>
      </c>
      <c r="H160" s="14" t="s">
        <v>35</v>
      </c>
      <c r="I160" s="14" t="s">
        <v>36</v>
      </c>
      <c r="J160" s="14"/>
    </row>
    <row r="161" spans="1:10" x14ac:dyDescent="0.3">
      <c r="A161" s="13"/>
      <c r="B161" s="14" t="str">
        <f t="shared" si="2"/>
        <v/>
      </c>
      <c r="C161" s="14"/>
      <c r="D161" s="14"/>
      <c r="E161" s="14"/>
      <c r="F161" s="16"/>
      <c r="G161" s="14" t="s">
        <v>34</v>
      </c>
      <c r="H161" s="14" t="s">
        <v>35</v>
      </c>
      <c r="I161" s="14" t="s">
        <v>36</v>
      </c>
      <c r="J161" s="14"/>
    </row>
    <row r="162" spans="1:10" x14ac:dyDescent="0.3">
      <c r="A162" s="13"/>
      <c r="B162" s="14" t="str">
        <f t="shared" si="2"/>
        <v/>
      </c>
      <c r="C162" s="14"/>
      <c r="D162" s="14"/>
      <c r="E162" s="14"/>
      <c r="F162" s="16"/>
      <c r="G162" s="14" t="s">
        <v>34</v>
      </c>
      <c r="H162" s="14" t="s">
        <v>35</v>
      </c>
      <c r="I162" s="14" t="s">
        <v>36</v>
      </c>
      <c r="J162" s="14"/>
    </row>
    <row r="163" spans="1:10" x14ac:dyDescent="0.3">
      <c r="A163" s="13"/>
      <c r="B163" s="14" t="str">
        <f t="shared" si="2"/>
        <v/>
      </c>
      <c r="C163" s="14"/>
      <c r="D163" s="14"/>
      <c r="E163" s="14"/>
      <c r="F163" s="16"/>
      <c r="G163" s="14" t="s">
        <v>34</v>
      </c>
      <c r="H163" s="14" t="s">
        <v>35</v>
      </c>
      <c r="I163" s="14" t="s">
        <v>36</v>
      </c>
      <c r="J163" s="14"/>
    </row>
    <row r="164" spans="1:10" x14ac:dyDescent="0.3">
      <c r="A164" s="13"/>
      <c r="B164" s="14" t="str">
        <f t="shared" si="2"/>
        <v/>
      </c>
      <c r="C164" s="14"/>
      <c r="D164" s="14"/>
      <c r="E164" s="14"/>
      <c r="F164" s="16"/>
      <c r="G164" s="14" t="s">
        <v>34</v>
      </c>
      <c r="H164" s="14" t="s">
        <v>35</v>
      </c>
      <c r="I164" s="14" t="s">
        <v>36</v>
      </c>
      <c r="J164" s="14"/>
    </row>
    <row r="165" spans="1:10" x14ac:dyDescent="0.3">
      <c r="A165" s="13"/>
      <c r="B165" s="14" t="str">
        <f t="shared" si="2"/>
        <v/>
      </c>
      <c r="C165" s="14"/>
      <c r="D165" s="14"/>
      <c r="E165" s="14"/>
      <c r="F165" s="16"/>
      <c r="G165" s="14" t="s">
        <v>34</v>
      </c>
      <c r="H165" s="14" t="s">
        <v>35</v>
      </c>
      <c r="I165" s="14" t="s">
        <v>36</v>
      </c>
      <c r="J165" s="14"/>
    </row>
    <row r="166" spans="1:10" x14ac:dyDescent="0.3">
      <c r="A166" s="13"/>
      <c r="B166" s="14" t="str">
        <f t="shared" si="2"/>
        <v/>
      </c>
      <c r="C166" s="14"/>
      <c r="D166" s="14"/>
      <c r="E166" s="14"/>
      <c r="F166" s="16"/>
      <c r="G166" s="14" t="s">
        <v>34</v>
      </c>
      <c r="H166" s="14" t="s">
        <v>35</v>
      </c>
      <c r="I166" s="14" t="s">
        <v>36</v>
      </c>
      <c r="J166" s="14"/>
    </row>
    <row r="167" spans="1:10" x14ac:dyDescent="0.3">
      <c r="A167" s="13"/>
      <c r="B167" s="14" t="str">
        <f t="shared" si="2"/>
        <v/>
      </c>
      <c r="C167" s="14"/>
      <c r="D167" s="14"/>
      <c r="E167" s="14"/>
      <c r="F167" s="16"/>
      <c r="G167" s="14" t="s">
        <v>34</v>
      </c>
      <c r="H167" s="14" t="s">
        <v>35</v>
      </c>
      <c r="I167" s="14" t="s">
        <v>36</v>
      </c>
      <c r="J167" s="14"/>
    </row>
    <row r="168" spans="1:10" x14ac:dyDescent="0.3">
      <c r="A168" s="13"/>
      <c r="B168" s="14" t="str">
        <f t="shared" si="2"/>
        <v/>
      </c>
      <c r="C168" s="14"/>
      <c r="D168" s="14"/>
      <c r="E168" s="14"/>
      <c r="F168" s="16"/>
      <c r="G168" s="14" t="s">
        <v>34</v>
      </c>
      <c r="H168" s="14" t="s">
        <v>35</v>
      </c>
      <c r="I168" s="14" t="s">
        <v>36</v>
      </c>
      <c r="J168" s="14"/>
    </row>
    <row r="169" spans="1:10" x14ac:dyDescent="0.3">
      <c r="A169" s="13"/>
      <c r="B169" s="14" t="str">
        <f t="shared" si="2"/>
        <v/>
      </c>
      <c r="C169" s="14"/>
      <c r="D169" s="14"/>
      <c r="E169" s="14"/>
      <c r="F169" s="16"/>
      <c r="G169" s="14" t="s">
        <v>34</v>
      </c>
      <c r="H169" s="14" t="s">
        <v>35</v>
      </c>
      <c r="I169" s="14" t="s">
        <v>36</v>
      </c>
      <c r="J169" s="14"/>
    </row>
    <row r="170" spans="1:10" x14ac:dyDescent="0.3">
      <c r="A170" s="13"/>
      <c r="B170" s="14" t="str">
        <f t="shared" si="2"/>
        <v/>
      </c>
      <c r="C170" s="14"/>
      <c r="D170" s="14"/>
      <c r="E170" s="14"/>
      <c r="F170" s="16"/>
      <c r="G170" s="14" t="s">
        <v>34</v>
      </c>
      <c r="H170" s="14" t="s">
        <v>35</v>
      </c>
      <c r="I170" s="14" t="s">
        <v>36</v>
      </c>
      <c r="J170" s="14"/>
    </row>
    <row r="171" spans="1:10" x14ac:dyDescent="0.3">
      <c r="A171" s="13"/>
      <c r="B171" s="14" t="str">
        <f t="shared" si="2"/>
        <v/>
      </c>
      <c r="C171" s="14"/>
      <c r="D171" s="14"/>
      <c r="E171" s="14"/>
      <c r="F171" s="16"/>
      <c r="G171" s="14" t="s">
        <v>34</v>
      </c>
      <c r="H171" s="14" t="s">
        <v>35</v>
      </c>
      <c r="I171" s="14" t="s">
        <v>36</v>
      </c>
      <c r="J171" s="14"/>
    </row>
    <row r="172" spans="1:10" x14ac:dyDescent="0.3">
      <c r="A172" s="13"/>
      <c r="B172" s="14" t="str">
        <f t="shared" si="2"/>
        <v/>
      </c>
      <c r="C172" s="14"/>
      <c r="D172" s="14"/>
      <c r="E172" s="14"/>
      <c r="F172" s="16"/>
      <c r="G172" s="14" t="s">
        <v>34</v>
      </c>
      <c r="H172" s="14" t="s">
        <v>35</v>
      </c>
      <c r="I172" s="14" t="s">
        <v>36</v>
      </c>
      <c r="J172" s="14"/>
    </row>
    <row r="173" spans="1:10" x14ac:dyDescent="0.3">
      <c r="A173" s="13"/>
      <c r="B173" s="14" t="str">
        <f t="shared" si="2"/>
        <v/>
      </c>
      <c r="C173" s="14"/>
      <c r="D173" s="14"/>
      <c r="E173" s="14"/>
      <c r="F173" s="16"/>
      <c r="G173" s="14" t="s">
        <v>34</v>
      </c>
      <c r="H173" s="14" t="s">
        <v>35</v>
      </c>
      <c r="I173" s="14" t="s">
        <v>36</v>
      </c>
      <c r="J173" s="14"/>
    </row>
    <row r="174" spans="1:10" x14ac:dyDescent="0.3">
      <c r="A174" s="13"/>
      <c r="B174" s="14" t="str">
        <f t="shared" si="2"/>
        <v/>
      </c>
      <c r="C174" s="14"/>
      <c r="D174" s="14"/>
      <c r="E174" s="14"/>
      <c r="F174" s="16"/>
      <c r="G174" s="14" t="s">
        <v>34</v>
      </c>
      <c r="H174" s="14" t="s">
        <v>35</v>
      </c>
      <c r="I174" s="14" t="s">
        <v>36</v>
      </c>
      <c r="J174" s="14"/>
    </row>
    <row r="175" spans="1:10" x14ac:dyDescent="0.3">
      <c r="A175" s="13"/>
      <c r="B175" s="14" t="str">
        <f t="shared" si="2"/>
        <v/>
      </c>
      <c r="C175" s="14"/>
      <c r="D175" s="14"/>
      <c r="E175" s="14"/>
      <c r="F175" s="16"/>
      <c r="G175" s="14" t="s">
        <v>34</v>
      </c>
      <c r="H175" s="14" t="s">
        <v>35</v>
      </c>
      <c r="I175" s="14" t="s">
        <v>36</v>
      </c>
      <c r="J175" s="14"/>
    </row>
    <row r="176" spans="1:10" x14ac:dyDescent="0.3">
      <c r="A176" s="13"/>
      <c r="B176" s="14" t="str">
        <f t="shared" si="2"/>
        <v/>
      </c>
      <c r="C176" s="14"/>
      <c r="D176" s="14"/>
      <c r="E176" s="14"/>
      <c r="F176" s="16"/>
      <c r="G176" s="14" t="s">
        <v>34</v>
      </c>
      <c r="H176" s="14" t="s">
        <v>35</v>
      </c>
      <c r="I176" s="14" t="s">
        <v>36</v>
      </c>
      <c r="J176" s="14"/>
    </row>
    <row r="177" spans="1:10" x14ac:dyDescent="0.3">
      <c r="A177" s="13"/>
      <c r="B177" s="14" t="str">
        <f t="shared" si="2"/>
        <v/>
      </c>
      <c r="C177" s="14"/>
      <c r="D177" s="14"/>
      <c r="E177" s="14"/>
      <c r="F177" s="16"/>
      <c r="G177" s="14" t="s">
        <v>34</v>
      </c>
      <c r="H177" s="14" t="s">
        <v>35</v>
      </c>
      <c r="I177" s="14" t="s">
        <v>36</v>
      </c>
      <c r="J177" s="14"/>
    </row>
    <row r="178" spans="1:10" x14ac:dyDescent="0.3">
      <c r="A178" s="13"/>
      <c r="B178" s="14" t="str">
        <f t="shared" si="2"/>
        <v/>
      </c>
      <c r="C178" s="14"/>
      <c r="D178" s="14"/>
      <c r="E178" s="14"/>
      <c r="F178" s="16"/>
      <c r="G178" s="14" t="s">
        <v>34</v>
      </c>
      <c r="H178" s="14" t="s">
        <v>35</v>
      </c>
      <c r="I178" s="14" t="s">
        <v>36</v>
      </c>
      <c r="J178" s="14"/>
    </row>
    <row r="179" spans="1:10" x14ac:dyDescent="0.3">
      <c r="A179" s="13"/>
      <c r="B179" s="14" t="str">
        <f t="shared" si="2"/>
        <v/>
      </c>
      <c r="C179" s="14"/>
      <c r="D179" s="14"/>
      <c r="E179" s="14"/>
      <c r="F179" s="16"/>
      <c r="G179" s="14" t="s">
        <v>34</v>
      </c>
      <c r="H179" s="14" t="s">
        <v>35</v>
      </c>
      <c r="I179" s="14" t="s">
        <v>36</v>
      </c>
      <c r="J179" s="14"/>
    </row>
    <row r="180" spans="1:10" x14ac:dyDescent="0.3">
      <c r="A180" s="13"/>
      <c r="B180" s="14" t="str">
        <f t="shared" si="2"/>
        <v/>
      </c>
      <c r="C180" s="14"/>
      <c r="D180" s="14"/>
      <c r="E180" s="14"/>
      <c r="F180" s="16"/>
      <c r="G180" s="14" t="s">
        <v>34</v>
      </c>
      <c r="H180" s="14" t="s">
        <v>35</v>
      </c>
      <c r="I180" s="14" t="s">
        <v>36</v>
      </c>
      <c r="J180" s="14"/>
    </row>
    <row r="181" spans="1:10" x14ac:dyDescent="0.3">
      <c r="A181" s="13"/>
      <c r="B181" s="14" t="str">
        <f t="shared" si="2"/>
        <v/>
      </c>
      <c r="C181" s="14"/>
      <c r="D181" s="14"/>
      <c r="E181" s="14"/>
      <c r="F181" s="16"/>
      <c r="G181" s="14" t="s">
        <v>34</v>
      </c>
      <c r="H181" s="14" t="s">
        <v>35</v>
      </c>
      <c r="I181" s="14" t="s">
        <v>36</v>
      </c>
      <c r="J181" s="14"/>
    </row>
    <row r="182" spans="1:10" x14ac:dyDescent="0.3">
      <c r="A182" s="13"/>
      <c r="B182" s="14" t="str">
        <f t="shared" si="2"/>
        <v/>
      </c>
      <c r="C182" s="14"/>
      <c r="D182" s="14"/>
      <c r="E182" s="14"/>
      <c r="F182" s="16"/>
      <c r="G182" s="14" t="s">
        <v>34</v>
      </c>
      <c r="H182" s="14" t="s">
        <v>35</v>
      </c>
      <c r="I182" s="14" t="s">
        <v>36</v>
      </c>
      <c r="J182" s="14"/>
    </row>
    <row r="183" spans="1:10" x14ac:dyDescent="0.3">
      <c r="A183" s="13"/>
      <c r="B183" s="14" t="str">
        <f t="shared" si="2"/>
        <v/>
      </c>
      <c r="C183" s="14"/>
      <c r="D183" s="14"/>
      <c r="E183" s="14"/>
      <c r="F183" s="16"/>
      <c r="G183" s="14" t="s">
        <v>34</v>
      </c>
      <c r="H183" s="14" t="s">
        <v>35</v>
      </c>
      <c r="I183" s="14" t="s">
        <v>36</v>
      </c>
      <c r="J183" s="14"/>
    </row>
    <row r="184" spans="1:10" x14ac:dyDescent="0.3">
      <c r="A184" s="13"/>
      <c r="B184" s="14" t="str">
        <f t="shared" si="2"/>
        <v/>
      </c>
      <c r="C184" s="14"/>
      <c r="D184" s="14"/>
      <c r="E184" s="14"/>
      <c r="F184" s="16"/>
      <c r="G184" s="14" t="s">
        <v>34</v>
      </c>
      <c r="H184" s="14" t="s">
        <v>35</v>
      </c>
      <c r="I184" s="14" t="s">
        <v>36</v>
      </c>
      <c r="J184" s="14"/>
    </row>
    <row r="185" spans="1:10" x14ac:dyDescent="0.3">
      <c r="A185" s="13"/>
      <c r="B185" s="14" t="str">
        <f t="shared" si="2"/>
        <v/>
      </c>
      <c r="C185" s="14"/>
      <c r="D185" s="14"/>
      <c r="E185" s="14"/>
      <c r="F185" s="16"/>
      <c r="G185" s="14" t="s">
        <v>34</v>
      </c>
      <c r="H185" s="14" t="s">
        <v>35</v>
      </c>
      <c r="I185" s="14" t="s">
        <v>36</v>
      </c>
      <c r="J185" s="14"/>
    </row>
    <row r="186" spans="1:10" x14ac:dyDescent="0.3">
      <c r="A186" s="13"/>
      <c r="B186" s="14" t="str">
        <f t="shared" si="2"/>
        <v/>
      </c>
      <c r="C186" s="14"/>
      <c r="D186" s="14"/>
      <c r="E186" s="14"/>
      <c r="F186" s="16"/>
      <c r="G186" s="14" t="s">
        <v>34</v>
      </c>
      <c r="H186" s="14" t="s">
        <v>35</v>
      </c>
      <c r="I186" s="14" t="s">
        <v>36</v>
      </c>
      <c r="J186" s="14"/>
    </row>
    <row r="187" spans="1:10" x14ac:dyDescent="0.3">
      <c r="A187" s="13"/>
      <c r="B187" s="14" t="str">
        <f t="shared" si="2"/>
        <v/>
      </c>
      <c r="C187" s="14"/>
      <c r="D187" s="14"/>
      <c r="E187" s="14"/>
      <c r="F187" s="16"/>
      <c r="G187" s="14" t="s">
        <v>34</v>
      </c>
      <c r="H187" s="14" t="s">
        <v>35</v>
      </c>
      <c r="I187" s="14" t="s">
        <v>36</v>
      </c>
      <c r="J187" s="14"/>
    </row>
    <row r="188" spans="1:10" x14ac:dyDescent="0.3">
      <c r="A188" s="13"/>
      <c r="B188" s="14" t="str">
        <f t="shared" si="2"/>
        <v/>
      </c>
      <c r="C188" s="14"/>
      <c r="D188" s="14"/>
      <c r="E188" s="14"/>
      <c r="F188" s="16"/>
      <c r="G188" s="14" t="s">
        <v>34</v>
      </c>
      <c r="H188" s="14" t="s">
        <v>35</v>
      </c>
      <c r="I188" s="14" t="s">
        <v>36</v>
      </c>
      <c r="J188" s="14"/>
    </row>
    <row r="189" spans="1:10" x14ac:dyDescent="0.3">
      <c r="A189" s="13"/>
      <c r="B189" s="14" t="str">
        <f t="shared" si="2"/>
        <v/>
      </c>
      <c r="C189" s="14"/>
      <c r="D189" s="14"/>
      <c r="E189" s="14"/>
      <c r="F189" s="16"/>
      <c r="G189" s="14" t="s">
        <v>34</v>
      </c>
      <c r="H189" s="14" t="s">
        <v>35</v>
      </c>
      <c r="I189" s="14" t="s">
        <v>36</v>
      </c>
      <c r="J189" s="14"/>
    </row>
    <row r="190" spans="1:10" x14ac:dyDescent="0.3">
      <c r="A190" s="13"/>
      <c r="B190" s="14" t="str">
        <f t="shared" si="2"/>
        <v/>
      </c>
      <c r="C190" s="14"/>
      <c r="D190" s="14"/>
      <c r="E190" s="14"/>
      <c r="F190" s="16"/>
      <c r="G190" s="14" t="s">
        <v>34</v>
      </c>
      <c r="H190" s="14" t="s">
        <v>35</v>
      </c>
      <c r="I190" s="14" t="s">
        <v>36</v>
      </c>
      <c r="J190" s="14"/>
    </row>
    <row r="191" spans="1:10" x14ac:dyDescent="0.3">
      <c r="A191" s="13"/>
      <c r="B191" s="14" t="str">
        <f t="shared" si="2"/>
        <v/>
      </c>
      <c r="C191" s="14"/>
      <c r="D191" s="14"/>
      <c r="E191" s="14"/>
      <c r="F191" s="16"/>
      <c r="G191" s="14" t="s">
        <v>34</v>
      </c>
      <c r="H191" s="14" t="s">
        <v>35</v>
      </c>
      <c r="I191" s="14" t="s">
        <v>36</v>
      </c>
      <c r="J191" s="14"/>
    </row>
    <row r="192" spans="1:10" x14ac:dyDescent="0.3">
      <c r="A192" s="13"/>
      <c r="B192" s="14" t="str">
        <f t="shared" si="2"/>
        <v/>
      </c>
      <c r="C192" s="14"/>
      <c r="D192" s="14"/>
      <c r="E192" s="14"/>
      <c r="F192" s="16"/>
      <c r="G192" s="14" t="s">
        <v>34</v>
      </c>
      <c r="H192" s="14" t="s">
        <v>35</v>
      </c>
      <c r="I192" s="14" t="s">
        <v>36</v>
      </c>
      <c r="J192" s="14"/>
    </row>
    <row r="193" spans="1:10" x14ac:dyDescent="0.3">
      <c r="A193" s="13"/>
      <c r="B193" s="14" t="str">
        <f t="shared" si="2"/>
        <v/>
      </c>
      <c r="C193" s="14"/>
      <c r="D193" s="14"/>
      <c r="E193" s="14"/>
      <c r="F193" s="16"/>
      <c r="G193" s="14" t="s">
        <v>34</v>
      </c>
      <c r="H193" s="14" t="s">
        <v>35</v>
      </c>
      <c r="I193" s="14" t="s">
        <v>36</v>
      </c>
      <c r="J193" s="14"/>
    </row>
    <row r="194" spans="1:10" x14ac:dyDescent="0.3">
      <c r="A194" s="13"/>
      <c r="B194" s="14" t="str">
        <f t="shared" ref="B194:B257" si="3">IF(A194="","", "I"&amp;TEXT(A194,"yymmdd")&amp;"-"&amp;TEXT(ROW()-1,"0000"))</f>
        <v/>
      </c>
      <c r="C194" s="14"/>
      <c r="D194" s="14"/>
      <c r="E194" s="14"/>
      <c r="F194" s="16"/>
      <c r="G194" s="14" t="s">
        <v>34</v>
      </c>
      <c r="H194" s="14" t="s">
        <v>35</v>
      </c>
      <c r="I194" s="14" t="s">
        <v>36</v>
      </c>
      <c r="J194" s="14"/>
    </row>
    <row r="195" spans="1:10" x14ac:dyDescent="0.3">
      <c r="A195" s="13"/>
      <c r="B195" s="14" t="str">
        <f t="shared" si="3"/>
        <v/>
      </c>
      <c r="C195" s="14"/>
      <c r="D195" s="14"/>
      <c r="E195" s="14"/>
      <c r="F195" s="16"/>
      <c r="G195" s="14" t="s">
        <v>34</v>
      </c>
      <c r="H195" s="14" t="s">
        <v>35</v>
      </c>
      <c r="I195" s="14" t="s">
        <v>36</v>
      </c>
      <c r="J195" s="14"/>
    </row>
    <row r="196" spans="1:10" x14ac:dyDescent="0.3">
      <c r="A196" s="13"/>
      <c r="B196" s="14" t="str">
        <f t="shared" si="3"/>
        <v/>
      </c>
      <c r="C196" s="14"/>
      <c r="D196" s="14"/>
      <c r="E196" s="14"/>
      <c r="F196" s="16"/>
      <c r="G196" s="14" t="s">
        <v>34</v>
      </c>
      <c r="H196" s="14" t="s">
        <v>35</v>
      </c>
      <c r="I196" s="14" t="s">
        <v>36</v>
      </c>
      <c r="J196" s="14"/>
    </row>
    <row r="197" spans="1:10" x14ac:dyDescent="0.3">
      <c r="A197" s="13"/>
      <c r="B197" s="14" t="str">
        <f t="shared" si="3"/>
        <v/>
      </c>
      <c r="C197" s="14"/>
      <c r="D197" s="14"/>
      <c r="E197" s="14"/>
      <c r="F197" s="16"/>
      <c r="G197" s="14" t="s">
        <v>34</v>
      </c>
      <c r="H197" s="14" t="s">
        <v>35</v>
      </c>
      <c r="I197" s="14" t="s">
        <v>36</v>
      </c>
      <c r="J197" s="14"/>
    </row>
    <row r="198" spans="1:10" x14ac:dyDescent="0.3">
      <c r="A198" s="13"/>
      <c r="B198" s="14" t="str">
        <f t="shared" si="3"/>
        <v/>
      </c>
      <c r="C198" s="14"/>
      <c r="D198" s="14"/>
      <c r="E198" s="14"/>
      <c r="F198" s="16"/>
      <c r="G198" s="14" t="s">
        <v>34</v>
      </c>
      <c r="H198" s="14" t="s">
        <v>35</v>
      </c>
      <c r="I198" s="14" t="s">
        <v>36</v>
      </c>
      <c r="J198" s="14"/>
    </row>
    <row r="199" spans="1:10" x14ac:dyDescent="0.3">
      <c r="A199" s="13"/>
      <c r="B199" s="14" t="str">
        <f t="shared" si="3"/>
        <v/>
      </c>
      <c r="C199" s="14"/>
      <c r="D199" s="14"/>
      <c r="E199" s="14"/>
      <c r="F199" s="16"/>
      <c r="G199" s="14" t="s">
        <v>34</v>
      </c>
      <c r="H199" s="14" t="s">
        <v>35</v>
      </c>
      <c r="I199" s="14" t="s">
        <v>36</v>
      </c>
      <c r="J199" s="14"/>
    </row>
    <row r="200" spans="1:10" x14ac:dyDescent="0.3">
      <c r="A200" s="13"/>
      <c r="B200" s="14" t="str">
        <f t="shared" si="3"/>
        <v/>
      </c>
      <c r="C200" s="14"/>
      <c r="D200" s="14"/>
      <c r="E200" s="14"/>
      <c r="F200" s="16"/>
      <c r="G200" s="14" t="s">
        <v>34</v>
      </c>
      <c r="H200" s="14" t="s">
        <v>35</v>
      </c>
      <c r="I200" s="14" t="s">
        <v>36</v>
      </c>
      <c r="J200" s="14"/>
    </row>
    <row r="201" spans="1:10" x14ac:dyDescent="0.3">
      <c r="A201" s="13"/>
      <c r="B201" s="14" t="str">
        <f t="shared" si="3"/>
        <v/>
      </c>
      <c r="C201" s="14"/>
      <c r="D201" s="14"/>
      <c r="E201" s="14"/>
      <c r="F201" s="16"/>
      <c r="G201" s="14" t="s">
        <v>34</v>
      </c>
      <c r="H201" s="14" t="s">
        <v>35</v>
      </c>
      <c r="I201" s="14" t="s">
        <v>36</v>
      </c>
      <c r="J201" s="14"/>
    </row>
    <row r="202" spans="1:10" x14ac:dyDescent="0.3">
      <c r="A202" s="13"/>
      <c r="B202" s="14" t="str">
        <f t="shared" si="3"/>
        <v/>
      </c>
      <c r="C202" s="14"/>
      <c r="D202" s="14"/>
      <c r="E202" s="14"/>
      <c r="F202" s="16"/>
      <c r="G202" s="14" t="s">
        <v>34</v>
      </c>
      <c r="H202" s="14" t="s">
        <v>35</v>
      </c>
      <c r="I202" s="14" t="s">
        <v>36</v>
      </c>
      <c r="J202" s="14"/>
    </row>
    <row r="203" spans="1:10" x14ac:dyDescent="0.3">
      <c r="A203" s="13"/>
      <c r="B203" s="14" t="str">
        <f t="shared" si="3"/>
        <v/>
      </c>
      <c r="C203" s="14"/>
      <c r="D203" s="14"/>
      <c r="E203" s="14"/>
      <c r="F203" s="16"/>
      <c r="G203" s="14" t="s">
        <v>34</v>
      </c>
      <c r="H203" s="14" t="s">
        <v>35</v>
      </c>
      <c r="I203" s="14" t="s">
        <v>36</v>
      </c>
      <c r="J203" s="14"/>
    </row>
    <row r="204" spans="1:10" x14ac:dyDescent="0.3">
      <c r="A204" s="13"/>
      <c r="B204" s="14" t="str">
        <f t="shared" si="3"/>
        <v/>
      </c>
      <c r="C204" s="14"/>
      <c r="D204" s="14"/>
      <c r="E204" s="14"/>
      <c r="F204" s="16"/>
      <c r="G204" s="14" t="s">
        <v>34</v>
      </c>
      <c r="H204" s="14" t="s">
        <v>35</v>
      </c>
      <c r="I204" s="14" t="s">
        <v>36</v>
      </c>
      <c r="J204" s="14"/>
    </row>
    <row r="205" spans="1:10" x14ac:dyDescent="0.3">
      <c r="A205" s="13"/>
      <c r="B205" s="14" t="str">
        <f t="shared" si="3"/>
        <v/>
      </c>
      <c r="C205" s="14"/>
      <c r="D205" s="14"/>
      <c r="E205" s="14"/>
      <c r="F205" s="16"/>
      <c r="G205" s="14" t="s">
        <v>34</v>
      </c>
      <c r="H205" s="14" t="s">
        <v>35</v>
      </c>
      <c r="I205" s="14" t="s">
        <v>36</v>
      </c>
      <c r="J205" s="14"/>
    </row>
    <row r="206" spans="1:10" x14ac:dyDescent="0.3">
      <c r="A206" s="13"/>
      <c r="B206" s="14" t="str">
        <f t="shared" si="3"/>
        <v/>
      </c>
      <c r="C206" s="14"/>
      <c r="D206" s="14"/>
      <c r="E206" s="14"/>
      <c r="F206" s="16"/>
      <c r="G206" s="14" t="s">
        <v>34</v>
      </c>
      <c r="H206" s="14" t="s">
        <v>35</v>
      </c>
      <c r="I206" s="14" t="s">
        <v>36</v>
      </c>
      <c r="J206" s="14"/>
    </row>
    <row r="207" spans="1:10" x14ac:dyDescent="0.3">
      <c r="A207" s="13"/>
      <c r="B207" s="14" t="str">
        <f t="shared" si="3"/>
        <v/>
      </c>
      <c r="C207" s="14"/>
      <c r="D207" s="14"/>
      <c r="E207" s="14"/>
      <c r="F207" s="16"/>
      <c r="G207" s="14" t="s">
        <v>34</v>
      </c>
      <c r="H207" s="14" t="s">
        <v>35</v>
      </c>
      <c r="I207" s="14" t="s">
        <v>36</v>
      </c>
      <c r="J207" s="14"/>
    </row>
    <row r="208" spans="1:10" x14ac:dyDescent="0.3">
      <c r="A208" s="13"/>
      <c r="B208" s="14" t="str">
        <f t="shared" si="3"/>
        <v/>
      </c>
      <c r="C208" s="14"/>
      <c r="D208" s="14"/>
      <c r="E208" s="14"/>
      <c r="F208" s="16"/>
      <c r="G208" s="14" t="s">
        <v>34</v>
      </c>
      <c r="H208" s="14" t="s">
        <v>35</v>
      </c>
      <c r="I208" s="14" t="s">
        <v>36</v>
      </c>
      <c r="J208" s="14"/>
    </row>
    <row r="209" spans="1:10" x14ac:dyDescent="0.3">
      <c r="A209" s="13"/>
      <c r="B209" s="14" t="str">
        <f t="shared" si="3"/>
        <v/>
      </c>
      <c r="C209" s="14"/>
      <c r="D209" s="14"/>
      <c r="E209" s="14"/>
      <c r="F209" s="16"/>
      <c r="G209" s="14" t="s">
        <v>34</v>
      </c>
      <c r="H209" s="14" t="s">
        <v>35</v>
      </c>
      <c r="I209" s="14" t="s">
        <v>36</v>
      </c>
      <c r="J209" s="14"/>
    </row>
    <row r="210" spans="1:10" x14ac:dyDescent="0.3">
      <c r="A210" s="13"/>
      <c r="B210" s="14" t="str">
        <f t="shared" si="3"/>
        <v/>
      </c>
      <c r="C210" s="14"/>
      <c r="D210" s="14"/>
      <c r="E210" s="14"/>
      <c r="F210" s="16"/>
      <c r="G210" s="14" t="s">
        <v>34</v>
      </c>
      <c r="H210" s="14" t="s">
        <v>35</v>
      </c>
      <c r="I210" s="14" t="s">
        <v>36</v>
      </c>
      <c r="J210" s="14"/>
    </row>
    <row r="211" spans="1:10" x14ac:dyDescent="0.3">
      <c r="A211" s="13"/>
      <c r="B211" s="14" t="str">
        <f t="shared" si="3"/>
        <v/>
      </c>
      <c r="C211" s="14"/>
      <c r="D211" s="14"/>
      <c r="E211" s="14"/>
      <c r="F211" s="16"/>
      <c r="G211" s="14" t="s">
        <v>34</v>
      </c>
      <c r="H211" s="14" t="s">
        <v>35</v>
      </c>
      <c r="I211" s="14" t="s">
        <v>36</v>
      </c>
      <c r="J211" s="14"/>
    </row>
    <row r="212" spans="1:10" x14ac:dyDescent="0.3">
      <c r="A212" s="13"/>
      <c r="B212" s="14" t="str">
        <f t="shared" si="3"/>
        <v/>
      </c>
      <c r="C212" s="14"/>
      <c r="D212" s="14"/>
      <c r="E212" s="14"/>
      <c r="F212" s="16"/>
      <c r="G212" s="14" t="s">
        <v>34</v>
      </c>
      <c r="H212" s="14" t="s">
        <v>35</v>
      </c>
      <c r="I212" s="14" t="s">
        <v>36</v>
      </c>
      <c r="J212" s="14"/>
    </row>
    <row r="213" spans="1:10" x14ac:dyDescent="0.3">
      <c r="A213" s="13"/>
      <c r="B213" s="14" t="str">
        <f t="shared" si="3"/>
        <v/>
      </c>
      <c r="C213" s="14"/>
      <c r="D213" s="14"/>
      <c r="E213" s="14"/>
      <c r="F213" s="16"/>
      <c r="G213" s="14" t="s">
        <v>34</v>
      </c>
      <c r="H213" s="14" t="s">
        <v>35</v>
      </c>
      <c r="I213" s="14" t="s">
        <v>36</v>
      </c>
      <c r="J213" s="14"/>
    </row>
    <row r="214" spans="1:10" x14ac:dyDescent="0.3">
      <c r="A214" s="13"/>
      <c r="B214" s="14" t="str">
        <f t="shared" si="3"/>
        <v/>
      </c>
      <c r="C214" s="14"/>
      <c r="D214" s="14"/>
      <c r="E214" s="14"/>
      <c r="F214" s="16"/>
      <c r="G214" s="14" t="s">
        <v>34</v>
      </c>
      <c r="H214" s="14" t="s">
        <v>35</v>
      </c>
      <c r="I214" s="14" t="s">
        <v>36</v>
      </c>
      <c r="J214" s="14"/>
    </row>
    <row r="215" spans="1:10" x14ac:dyDescent="0.3">
      <c r="A215" s="13"/>
      <c r="B215" s="14" t="str">
        <f t="shared" si="3"/>
        <v/>
      </c>
      <c r="C215" s="14"/>
      <c r="D215" s="14"/>
      <c r="E215" s="14"/>
      <c r="F215" s="16"/>
      <c r="G215" s="14" t="s">
        <v>34</v>
      </c>
      <c r="H215" s="14" t="s">
        <v>35</v>
      </c>
      <c r="I215" s="14" t="s">
        <v>36</v>
      </c>
      <c r="J215" s="14"/>
    </row>
    <row r="216" spans="1:10" x14ac:dyDescent="0.3">
      <c r="A216" s="13"/>
      <c r="B216" s="14" t="str">
        <f t="shared" si="3"/>
        <v/>
      </c>
      <c r="C216" s="14"/>
      <c r="D216" s="14"/>
      <c r="E216" s="14"/>
      <c r="F216" s="16"/>
      <c r="G216" s="14" t="s">
        <v>34</v>
      </c>
      <c r="H216" s="14" t="s">
        <v>35</v>
      </c>
      <c r="I216" s="14" t="s">
        <v>36</v>
      </c>
      <c r="J216" s="14"/>
    </row>
    <row r="217" spans="1:10" x14ac:dyDescent="0.3">
      <c r="A217" s="13"/>
      <c r="B217" s="14" t="str">
        <f t="shared" si="3"/>
        <v/>
      </c>
      <c r="C217" s="14"/>
      <c r="D217" s="14"/>
      <c r="E217" s="14"/>
      <c r="F217" s="16"/>
      <c r="G217" s="14" t="s">
        <v>34</v>
      </c>
      <c r="H217" s="14" t="s">
        <v>35</v>
      </c>
      <c r="I217" s="14" t="s">
        <v>36</v>
      </c>
      <c r="J217" s="14"/>
    </row>
    <row r="218" spans="1:10" x14ac:dyDescent="0.3">
      <c r="A218" s="13"/>
      <c r="B218" s="14" t="str">
        <f t="shared" si="3"/>
        <v/>
      </c>
      <c r="C218" s="14"/>
      <c r="D218" s="14"/>
      <c r="E218" s="14"/>
      <c r="F218" s="16"/>
      <c r="G218" s="14" t="s">
        <v>34</v>
      </c>
      <c r="H218" s="14" t="s">
        <v>35</v>
      </c>
      <c r="I218" s="14" t="s">
        <v>36</v>
      </c>
      <c r="J218" s="14"/>
    </row>
    <row r="219" spans="1:10" x14ac:dyDescent="0.3">
      <c r="A219" s="13"/>
      <c r="B219" s="14" t="str">
        <f t="shared" si="3"/>
        <v/>
      </c>
      <c r="C219" s="14"/>
      <c r="D219" s="14"/>
      <c r="E219" s="14"/>
      <c r="F219" s="16"/>
      <c r="G219" s="14" t="s">
        <v>34</v>
      </c>
      <c r="H219" s="14" t="s">
        <v>35</v>
      </c>
      <c r="I219" s="14" t="s">
        <v>36</v>
      </c>
      <c r="J219" s="14"/>
    </row>
    <row r="220" spans="1:10" x14ac:dyDescent="0.3">
      <c r="A220" s="13"/>
      <c r="B220" s="14" t="str">
        <f t="shared" si="3"/>
        <v/>
      </c>
      <c r="C220" s="14"/>
      <c r="D220" s="14"/>
      <c r="E220" s="14"/>
      <c r="F220" s="16"/>
      <c r="G220" s="14" t="s">
        <v>34</v>
      </c>
      <c r="H220" s="14" t="s">
        <v>35</v>
      </c>
      <c r="I220" s="14" t="s">
        <v>36</v>
      </c>
      <c r="J220" s="14"/>
    </row>
    <row r="221" spans="1:10" x14ac:dyDescent="0.3">
      <c r="A221" s="13"/>
      <c r="B221" s="14" t="str">
        <f t="shared" si="3"/>
        <v/>
      </c>
      <c r="C221" s="14"/>
      <c r="D221" s="14"/>
      <c r="E221" s="14"/>
      <c r="F221" s="16"/>
      <c r="G221" s="14" t="s">
        <v>34</v>
      </c>
      <c r="H221" s="14" t="s">
        <v>35</v>
      </c>
      <c r="I221" s="14" t="s">
        <v>36</v>
      </c>
      <c r="J221" s="14"/>
    </row>
    <row r="222" spans="1:10" x14ac:dyDescent="0.3">
      <c r="A222" s="13"/>
      <c r="B222" s="14" t="str">
        <f t="shared" si="3"/>
        <v/>
      </c>
      <c r="C222" s="14"/>
      <c r="D222" s="14"/>
      <c r="E222" s="14"/>
      <c r="F222" s="16"/>
      <c r="G222" s="14" t="s">
        <v>34</v>
      </c>
      <c r="H222" s="14" t="s">
        <v>35</v>
      </c>
      <c r="I222" s="14" t="s">
        <v>36</v>
      </c>
      <c r="J222" s="14"/>
    </row>
    <row r="223" spans="1:10" x14ac:dyDescent="0.3">
      <c r="A223" s="13"/>
      <c r="B223" s="14" t="str">
        <f t="shared" si="3"/>
        <v/>
      </c>
      <c r="C223" s="14"/>
      <c r="D223" s="14"/>
      <c r="E223" s="14"/>
      <c r="F223" s="16"/>
      <c r="G223" s="14" t="s">
        <v>34</v>
      </c>
      <c r="H223" s="14" t="s">
        <v>35</v>
      </c>
      <c r="I223" s="14" t="s">
        <v>36</v>
      </c>
      <c r="J223" s="14"/>
    </row>
    <row r="224" spans="1:10" x14ac:dyDescent="0.3">
      <c r="A224" s="13"/>
      <c r="B224" s="14" t="str">
        <f t="shared" si="3"/>
        <v/>
      </c>
      <c r="C224" s="14"/>
      <c r="D224" s="14"/>
      <c r="E224" s="14"/>
      <c r="F224" s="16"/>
      <c r="G224" s="14" t="s">
        <v>34</v>
      </c>
      <c r="H224" s="14" t="s">
        <v>35</v>
      </c>
      <c r="I224" s="14" t="s">
        <v>36</v>
      </c>
      <c r="J224" s="14"/>
    </row>
    <row r="225" spans="1:10" x14ac:dyDescent="0.3">
      <c r="A225" s="13"/>
      <c r="B225" s="14" t="str">
        <f t="shared" si="3"/>
        <v/>
      </c>
      <c r="C225" s="14"/>
      <c r="D225" s="14"/>
      <c r="E225" s="14"/>
      <c r="F225" s="16"/>
      <c r="G225" s="14" t="s">
        <v>34</v>
      </c>
      <c r="H225" s="14" t="s">
        <v>35</v>
      </c>
      <c r="I225" s="14" t="s">
        <v>36</v>
      </c>
      <c r="J225" s="14"/>
    </row>
    <row r="226" spans="1:10" x14ac:dyDescent="0.3">
      <c r="A226" s="13"/>
      <c r="B226" s="14" t="str">
        <f t="shared" si="3"/>
        <v/>
      </c>
      <c r="C226" s="14"/>
      <c r="D226" s="14"/>
      <c r="E226" s="14"/>
      <c r="F226" s="16"/>
      <c r="G226" s="14" t="s">
        <v>34</v>
      </c>
      <c r="H226" s="14" t="s">
        <v>35</v>
      </c>
      <c r="I226" s="14" t="s">
        <v>36</v>
      </c>
      <c r="J226" s="14"/>
    </row>
    <row r="227" spans="1:10" x14ac:dyDescent="0.3">
      <c r="A227" s="13"/>
      <c r="B227" s="14" t="str">
        <f t="shared" si="3"/>
        <v/>
      </c>
      <c r="C227" s="14"/>
      <c r="D227" s="14"/>
      <c r="E227" s="14"/>
      <c r="F227" s="16"/>
      <c r="G227" s="14" t="s">
        <v>34</v>
      </c>
      <c r="H227" s="14" t="s">
        <v>35</v>
      </c>
      <c r="I227" s="14" t="s">
        <v>36</v>
      </c>
      <c r="J227" s="14"/>
    </row>
    <row r="228" spans="1:10" x14ac:dyDescent="0.3">
      <c r="A228" s="13"/>
      <c r="B228" s="14" t="str">
        <f t="shared" si="3"/>
        <v/>
      </c>
      <c r="C228" s="14"/>
      <c r="D228" s="14"/>
      <c r="E228" s="14"/>
      <c r="F228" s="16"/>
      <c r="G228" s="14" t="s">
        <v>34</v>
      </c>
      <c r="H228" s="14" t="s">
        <v>35</v>
      </c>
      <c r="I228" s="14" t="s">
        <v>36</v>
      </c>
      <c r="J228" s="14"/>
    </row>
    <row r="229" spans="1:10" x14ac:dyDescent="0.3">
      <c r="A229" s="13"/>
      <c r="B229" s="14" t="str">
        <f t="shared" si="3"/>
        <v/>
      </c>
      <c r="C229" s="14"/>
      <c r="D229" s="14"/>
      <c r="E229" s="14"/>
      <c r="F229" s="16"/>
      <c r="G229" s="14" t="s">
        <v>34</v>
      </c>
      <c r="H229" s="14" t="s">
        <v>35</v>
      </c>
      <c r="I229" s="14" t="s">
        <v>36</v>
      </c>
      <c r="J229" s="14"/>
    </row>
    <row r="230" spans="1:10" x14ac:dyDescent="0.3">
      <c r="A230" s="13"/>
      <c r="B230" s="14" t="str">
        <f t="shared" si="3"/>
        <v/>
      </c>
      <c r="C230" s="14"/>
      <c r="D230" s="14"/>
      <c r="E230" s="14"/>
      <c r="F230" s="16"/>
      <c r="G230" s="14" t="s">
        <v>34</v>
      </c>
      <c r="H230" s="14" t="s">
        <v>35</v>
      </c>
      <c r="I230" s="14" t="s">
        <v>36</v>
      </c>
      <c r="J230" s="14"/>
    </row>
    <row r="231" spans="1:10" x14ac:dyDescent="0.3">
      <c r="A231" s="13"/>
      <c r="B231" s="14" t="str">
        <f t="shared" si="3"/>
        <v/>
      </c>
      <c r="C231" s="14"/>
      <c r="D231" s="14"/>
      <c r="E231" s="14"/>
      <c r="F231" s="16"/>
      <c r="G231" s="14" t="s">
        <v>34</v>
      </c>
      <c r="H231" s="14" t="s">
        <v>35</v>
      </c>
      <c r="I231" s="14" t="s">
        <v>36</v>
      </c>
      <c r="J231" s="14"/>
    </row>
    <row r="232" spans="1:10" x14ac:dyDescent="0.3">
      <c r="A232" s="13"/>
      <c r="B232" s="14" t="str">
        <f t="shared" si="3"/>
        <v/>
      </c>
      <c r="C232" s="14"/>
      <c r="D232" s="14"/>
      <c r="E232" s="14"/>
      <c r="F232" s="16"/>
      <c r="G232" s="14" t="s">
        <v>34</v>
      </c>
      <c r="H232" s="14" t="s">
        <v>35</v>
      </c>
      <c r="I232" s="14" t="s">
        <v>36</v>
      </c>
      <c r="J232" s="14"/>
    </row>
    <row r="233" spans="1:10" x14ac:dyDescent="0.3">
      <c r="A233" s="13"/>
      <c r="B233" s="14" t="str">
        <f t="shared" si="3"/>
        <v/>
      </c>
      <c r="C233" s="14"/>
      <c r="D233" s="14"/>
      <c r="E233" s="14"/>
      <c r="F233" s="16"/>
      <c r="G233" s="14" t="s">
        <v>34</v>
      </c>
      <c r="H233" s="14" t="s">
        <v>35</v>
      </c>
      <c r="I233" s="14" t="s">
        <v>36</v>
      </c>
      <c r="J233" s="14"/>
    </row>
    <row r="234" spans="1:10" x14ac:dyDescent="0.3">
      <c r="A234" s="13"/>
      <c r="B234" s="14" t="str">
        <f t="shared" si="3"/>
        <v/>
      </c>
      <c r="C234" s="14"/>
      <c r="D234" s="14"/>
      <c r="E234" s="14"/>
      <c r="F234" s="16"/>
      <c r="G234" s="14" t="s">
        <v>34</v>
      </c>
      <c r="H234" s="14" t="s">
        <v>35</v>
      </c>
      <c r="I234" s="14" t="s">
        <v>36</v>
      </c>
      <c r="J234" s="14"/>
    </row>
    <row r="235" spans="1:10" x14ac:dyDescent="0.3">
      <c r="A235" s="13"/>
      <c r="B235" s="14" t="str">
        <f t="shared" si="3"/>
        <v/>
      </c>
      <c r="C235" s="14"/>
      <c r="D235" s="14"/>
      <c r="E235" s="14"/>
      <c r="F235" s="16"/>
      <c r="G235" s="14" t="s">
        <v>34</v>
      </c>
      <c r="H235" s="14" t="s">
        <v>35</v>
      </c>
      <c r="I235" s="14" t="s">
        <v>36</v>
      </c>
      <c r="J235" s="14"/>
    </row>
    <row r="236" spans="1:10" x14ac:dyDescent="0.3">
      <c r="A236" s="13"/>
      <c r="B236" s="14" t="str">
        <f t="shared" si="3"/>
        <v/>
      </c>
      <c r="C236" s="14"/>
      <c r="D236" s="14"/>
      <c r="E236" s="14"/>
      <c r="F236" s="16"/>
      <c r="G236" s="14" t="s">
        <v>34</v>
      </c>
      <c r="H236" s="14" t="s">
        <v>35</v>
      </c>
      <c r="I236" s="14" t="s">
        <v>36</v>
      </c>
      <c r="J236" s="14"/>
    </row>
    <row r="237" spans="1:10" x14ac:dyDescent="0.3">
      <c r="A237" s="13"/>
      <c r="B237" s="14" t="str">
        <f t="shared" si="3"/>
        <v/>
      </c>
      <c r="C237" s="14"/>
      <c r="D237" s="14"/>
      <c r="E237" s="14"/>
      <c r="F237" s="16"/>
      <c r="G237" s="14" t="s">
        <v>34</v>
      </c>
      <c r="H237" s="14" t="s">
        <v>35</v>
      </c>
      <c r="I237" s="14" t="s">
        <v>36</v>
      </c>
      <c r="J237" s="14"/>
    </row>
    <row r="238" spans="1:10" x14ac:dyDescent="0.3">
      <c r="A238" s="13"/>
      <c r="B238" s="14" t="str">
        <f t="shared" si="3"/>
        <v/>
      </c>
      <c r="C238" s="14"/>
      <c r="D238" s="14"/>
      <c r="E238" s="14"/>
      <c r="F238" s="16"/>
      <c r="G238" s="14" t="s">
        <v>34</v>
      </c>
      <c r="H238" s="14" t="s">
        <v>35</v>
      </c>
      <c r="I238" s="14" t="s">
        <v>36</v>
      </c>
      <c r="J238" s="14"/>
    </row>
    <row r="239" spans="1:10" x14ac:dyDescent="0.3">
      <c r="A239" s="13"/>
      <c r="B239" s="14" t="str">
        <f t="shared" si="3"/>
        <v/>
      </c>
      <c r="C239" s="14"/>
      <c r="D239" s="14"/>
      <c r="E239" s="14"/>
      <c r="F239" s="16"/>
      <c r="G239" s="14" t="s">
        <v>34</v>
      </c>
      <c r="H239" s="14" t="s">
        <v>35</v>
      </c>
      <c r="I239" s="14" t="s">
        <v>36</v>
      </c>
      <c r="J239" s="14"/>
    </row>
    <row r="240" spans="1:10" x14ac:dyDescent="0.3">
      <c r="A240" s="13"/>
      <c r="B240" s="14" t="str">
        <f t="shared" si="3"/>
        <v/>
      </c>
      <c r="C240" s="14"/>
      <c r="D240" s="14"/>
      <c r="E240" s="14"/>
      <c r="F240" s="16"/>
      <c r="G240" s="14" t="s">
        <v>34</v>
      </c>
      <c r="H240" s="14" t="s">
        <v>35</v>
      </c>
      <c r="I240" s="14" t="s">
        <v>36</v>
      </c>
      <c r="J240" s="14"/>
    </row>
    <row r="241" spans="1:10" x14ac:dyDescent="0.3">
      <c r="A241" s="13"/>
      <c r="B241" s="14" t="str">
        <f t="shared" si="3"/>
        <v/>
      </c>
      <c r="C241" s="14"/>
      <c r="D241" s="14"/>
      <c r="E241" s="14"/>
      <c r="F241" s="16"/>
      <c r="G241" s="14" t="s">
        <v>34</v>
      </c>
      <c r="H241" s="14" t="s">
        <v>35</v>
      </c>
      <c r="I241" s="14" t="s">
        <v>36</v>
      </c>
      <c r="J241" s="14"/>
    </row>
    <row r="242" spans="1:10" x14ac:dyDescent="0.3">
      <c r="A242" s="13"/>
      <c r="B242" s="14" t="str">
        <f t="shared" si="3"/>
        <v/>
      </c>
      <c r="C242" s="14"/>
      <c r="D242" s="14"/>
      <c r="E242" s="14"/>
      <c r="F242" s="16"/>
      <c r="G242" s="14" t="s">
        <v>34</v>
      </c>
      <c r="H242" s="14" t="s">
        <v>35</v>
      </c>
      <c r="I242" s="14" t="s">
        <v>36</v>
      </c>
      <c r="J242" s="14"/>
    </row>
    <row r="243" spans="1:10" x14ac:dyDescent="0.3">
      <c r="A243" s="13"/>
      <c r="B243" s="14" t="str">
        <f t="shared" si="3"/>
        <v/>
      </c>
      <c r="C243" s="14"/>
      <c r="D243" s="14"/>
      <c r="E243" s="14"/>
      <c r="F243" s="16"/>
      <c r="G243" s="14" t="s">
        <v>34</v>
      </c>
      <c r="H243" s="14" t="s">
        <v>35</v>
      </c>
      <c r="I243" s="14" t="s">
        <v>36</v>
      </c>
      <c r="J243" s="14"/>
    </row>
    <row r="244" spans="1:10" x14ac:dyDescent="0.3">
      <c r="A244" s="13"/>
      <c r="B244" s="14" t="str">
        <f t="shared" si="3"/>
        <v/>
      </c>
      <c r="C244" s="14"/>
      <c r="D244" s="14"/>
      <c r="E244" s="14"/>
      <c r="F244" s="16"/>
      <c r="G244" s="14" t="s">
        <v>34</v>
      </c>
      <c r="H244" s="14" t="s">
        <v>35</v>
      </c>
      <c r="I244" s="14" t="s">
        <v>36</v>
      </c>
      <c r="J244" s="14"/>
    </row>
    <row r="245" spans="1:10" x14ac:dyDescent="0.3">
      <c r="A245" s="13"/>
      <c r="B245" s="14" t="str">
        <f t="shared" si="3"/>
        <v/>
      </c>
      <c r="C245" s="14"/>
      <c r="D245" s="14"/>
      <c r="E245" s="14"/>
      <c r="F245" s="16"/>
      <c r="G245" s="14" t="s">
        <v>34</v>
      </c>
      <c r="H245" s="14" t="s">
        <v>35</v>
      </c>
      <c r="I245" s="14" t="s">
        <v>36</v>
      </c>
      <c r="J245" s="14"/>
    </row>
    <row r="246" spans="1:10" x14ac:dyDescent="0.3">
      <c r="A246" s="13"/>
      <c r="B246" s="14" t="str">
        <f t="shared" si="3"/>
        <v/>
      </c>
      <c r="C246" s="14"/>
      <c r="D246" s="14"/>
      <c r="E246" s="14"/>
      <c r="F246" s="16"/>
      <c r="G246" s="14" t="s">
        <v>34</v>
      </c>
      <c r="H246" s="14" t="s">
        <v>35</v>
      </c>
      <c r="I246" s="14" t="s">
        <v>36</v>
      </c>
      <c r="J246" s="14"/>
    </row>
    <row r="247" spans="1:10" x14ac:dyDescent="0.3">
      <c r="A247" s="13"/>
      <c r="B247" s="14" t="str">
        <f t="shared" si="3"/>
        <v/>
      </c>
      <c r="C247" s="14"/>
      <c r="D247" s="14"/>
      <c r="E247" s="14"/>
      <c r="F247" s="16"/>
      <c r="G247" s="14" t="s">
        <v>34</v>
      </c>
      <c r="H247" s="14" t="s">
        <v>35</v>
      </c>
      <c r="I247" s="14" t="s">
        <v>36</v>
      </c>
      <c r="J247" s="14"/>
    </row>
    <row r="248" spans="1:10" x14ac:dyDescent="0.3">
      <c r="A248" s="13"/>
      <c r="B248" s="14" t="str">
        <f t="shared" si="3"/>
        <v/>
      </c>
      <c r="C248" s="14"/>
      <c r="D248" s="14"/>
      <c r="E248" s="14"/>
      <c r="F248" s="16"/>
      <c r="G248" s="14" t="s">
        <v>34</v>
      </c>
      <c r="H248" s="14" t="s">
        <v>35</v>
      </c>
      <c r="I248" s="14" t="s">
        <v>36</v>
      </c>
      <c r="J248" s="14"/>
    </row>
    <row r="249" spans="1:10" x14ac:dyDescent="0.3">
      <c r="A249" s="13"/>
      <c r="B249" s="14" t="str">
        <f t="shared" si="3"/>
        <v/>
      </c>
      <c r="C249" s="14"/>
      <c r="D249" s="14"/>
      <c r="E249" s="14"/>
      <c r="F249" s="16"/>
      <c r="G249" s="14" t="s">
        <v>34</v>
      </c>
      <c r="H249" s="14" t="s">
        <v>35</v>
      </c>
      <c r="I249" s="14" t="s">
        <v>36</v>
      </c>
      <c r="J249" s="14"/>
    </row>
    <row r="250" spans="1:10" x14ac:dyDescent="0.3">
      <c r="A250" s="13"/>
      <c r="B250" s="14" t="str">
        <f t="shared" si="3"/>
        <v/>
      </c>
      <c r="C250" s="14"/>
      <c r="D250" s="14"/>
      <c r="E250" s="14"/>
      <c r="F250" s="16"/>
      <c r="G250" s="14" t="s">
        <v>34</v>
      </c>
      <c r="H250" s="14" t="s">
        <v>35</v>
      </c>
      <c r="I250" s="14" t="s">
        <v>36</v>
      </c>
      <c r="J250" s="14"/>
    </row>
    <row r="251" spans="1:10" x14ac:dyDescent="0.3">
      <c r="A251" s="13"/>
      <c r="B251" s="14" t="str">
        <f t="shared" si="3"/>
        <v/>
      </c>
      <c r="C251" s="14"/>
      <c r="D251" s="14"/>
      <c r="E251" s="14"/>
      <c r="F251" s="16"/>
      <c r="G251" s="14" t="s">
        <v>34</v>
      </c>
      <c r="H251" s="14" t="s">
        <v>35</v>
      </c>
      <c r="I251" s="14" t="s">
        <v>36</v>
      </c>
      <c r="J251" s="14"/>
    </row>
    <row r="252" spans="1:10" x14ac:dyDescent="0.3">
      <c r="A252" s="13"/>
      <c r="B252" s="14" t="str">
        <f t="shared" si="3"/>
        <v/>
      </c>
      <c r="C252" s="14"/>
      <c r="D252" s="14"/>
      <c r="E252" s="14"/>
      <c r="F252" s="16"/>
      <c r="G252" s="14" t="s">
        <v>34</v>
      </c>
      <c r="H252" s="14" t="s">
        <v>35</v>
      </c>
      <c r="I252" s="14" t="s">
        <v>36</v>
      </c>
      <c r="J252" s="14"/>
    </row>
    <row r="253" spans="1:10" x14ac:dyDescent="0.3">
      <c r="A253" s="13"/>
      <c r="B253" s="14" t="str">
        <f t="shared" si="3"/>
        <v/>
      </c>
      <c r="C253" s="14"/>
      <c r="D253" s="14"/>
      <c r="E253" s="14"/>
      <c r="F253" s="16"/>
      <c r="G253" s="14" t="s">
        <v>34</v>
      </c>
      <c r="H253" s="14" t="s">
        <v>35</v>
      </c>
      <c r="I253" s="14" t="s">
        <v>36</v>
      </c>
      <c r="J253" s="14"/>
    </row>
    <row r="254" spans="1:10" x14ac:dyDescent="0.3">
      <c r="A254" s="13"/>
      <c r="B254" s="14" t="str">
        <f t="shared" si="3"/>
        <v/>
      </c>
      <c r="C254" s="14"/>
      <c r="D254" s="14"/>
      <c r="E254" s="14"/>
      <c r="F254" s="16"/>
      <c r="G254" s="14" t="s">
        <v>34</v>
      </c>
      <c r="H254" s="14" t="s">
        <v>35</v>
      </c>
      <c r="I254" s="14" t="s">
        <v>36</v>
      </c>
      <c r="J254" s="14"/>
    </row>
    <row r="255" spans="1:10" x14ac:dyDescent="0.3">
      <c r="A255" s="13"/>
      <c r="B255" s="14" t="str">
        <f t="shared" si="3"/>
        <v/>
      </c>
      <c r="C255" s="14"/>
      <c r="D255" s="14"/>
      <c r="E255" s="14"/>
      <c r="F255" s="16"/>
      <c r="G255" s="14" t="s">
        <v>34</v>
      </c>
      <c r="H255" s="14" t="s">
        <v>35</v>
      </c>
      <c r="I255" s="14" t="s">
        <v>36</v>
      </c>
      <c r="J255" s="14"/>
    </row>
    <row r="256" spans="1:10" x14ac:dyDescent="0.3">
      <c r="A256" s="13"/>
      <c r="B256" s="14" t="str">
        <f t="shared" si="3"/>
        <v/>
      </c>
      <c r="C256" s="14"/>
      <c r="D256" s="14"/>
      <c r="E256" s="14"/>
      <c r="F256" s="16"/>
      <c r="G256" s="14" t="s">
        <v>34</v>
      </c>
      <c r="H256" s="14" t="s">
        <v>35</v>
      </c>
      <c r="I256" s="14" t="s">
        <v>36</v>
      </c>
      <c r="J256" s="14"/>
    </row>
    <row r="257" spans="1:10" x14ac:dyDescent="0.3">
      <c r="A257" s="13"/>
      <c r="B257" s="14" t="str">
        <f t="shared" si="3"/>
        <v/>
      </c>
      <c r="C257" s="14"/>
      <c r="D257" s="14"/>
      <c r="E257" s="14"/>
      <c r="F257" s="16"/>
      <c r="G257" s="14" t="s">
        <v>34</v>
      </c>
      <c r="H257" s="14" t="s">
        <v>35</v>
      </c>
      <c r="I257" s="14" t="s">
        <v>36</v>
      </c>
      <c r="J257" s="14"/>
    </row>
    <row r="258" spans="1:10" x14ac:dyDescent="0.3">
      <c r="A258" s="13"/>
      <c r="B258" s="14" t="str">
        <f t="shared" ref="B258:B321" si="4">IF(A258="","", "I"&amp;TEXT(A258,"yymmdd")&amp;"-"&amp;TEXT(ROW()-1,"0000"))</f>
        <v/>
      </c>
      <c r="C258" s="14"/>
      <c r="D258" s="14"/>
      <c r="E258" s="14"/>
      <c r="F258" s="16"/>
      <c r="G258" s="14" t="s">
        <v>34</v>
      </c>
      <c r="H258" s="14" t="s">
        <v>35</v>
      </c>
      <c r="I258" s="14" t="s">
        <v>36</v>
      </c>
      <c r="J258" s="14"/>
    </row>
    <row r="259" spans="1:10" x14ac:dyDescent="0.3">
      <c r="A259" s="13"/>
      <c r="B259" s="14" t="str">
        <f t="shared" si="4"/>
        <v/>
      </c>
      <c r="C259" s="14"/>
      <c r="D259" s="14"/>
      <c r="E259" s="14"/>
      <c r="F259" s="16"/>
      <c r="G259" s="14" t="s">
        <v>34</v>
      </c>
      <c r="H259" s="14" t="s">
        <v>35</v>
      </c>
      <c r="I259" s="14" t="s">
        <v>36</v>
      </c>
      <c r="J259" s="14"/>
    </row>
    <row r="260" spans="1:10" x14ac:dyDescent="0.3">
      <c r="A260" s="13"/>
      <c r="B260" s="14" t="str">
        <f t="shared" si="4"/>
        <v/>
      </c>
      <c r="C260" s="14"/>
      <c r="D260" s="14"/>
      <c r="E260" s="14"/>
      <c r="F260" s="16"/>
      <c r="G260" s="14" t="s">
        <v>34</v>
      </c>
      <c r="H260" s="14" t="s">
        <v>35</v>
      </c>
      <c r="I260" s="14" t="s">
        <v>36</v>
      </c>
      <c r="J260" s="14"/>
    </row>
    <row r="261" spans="1:10" x14ac:dyDescent="0.3">
      <c r="A261" s="13"/>
      <c r="B261" s="14" t="str">
        <f t="shared" si="4"/>
        <v/>
      </c>
      <c r="C261" s="14"/>
      <c r="D261" s="14"/>
      <c r="E261" s="14"/>
      <c r="F261" s="16"/>
      <c r="G261" s="14" t="s">
        <v>34</v>
      </c>
      <c r="H261" s="14" t="s">
        <v>35</v>
      </c>
      <c r="I261" s="14" t="s">
        <v>36</v>
      </c>
      <c r="J261" s="14"/>
    </row>
    <row r="262" spans="1:10" x14ac:dyDescent="0.3">
      <c r="A262" s="13"/>
      <c r="B262" s="14" t="str">
        <f t="shared" si="4"/>
        <v/>
      </c>
      <c r="C262" s="14"/>
      <c r="D262" s="14"/>
      <c r="E262" s="14"/>
      <c r="F262" s="16"/>
      <c r="G262" s="14" t="s">
        <v>34</v>
      </c>
      <c r="H262" s="14" t="s">
        <v>35</v>
      </c>
      <c r="I262" s="14" t="s">
        <v>36</v>
      </c>
      <c r="J262" s="14"/>
    </row>
    <row r="263" spans="1:10" x14ac:dyDescent="0.3">
      <c r="A263" s="13"/>
      <c r="B263" s="14" t="str">
        <f t="shared" si="4"/>
        <v/>
      </c>
      <c r="C263" s="14"/>
      <c r="D263" s="14"/>
      <c r="E263" s="14"/>
      <c r="F263" s="16"/>
      <c r="G263" s="14" t="s">
        <v>34</v>
      </c>
      <c r="H263" s="14" t="s">
        <v>35</v>
      </c>
      <c r="I263" s="14" t="s">
        <v>36</v>
      </c>
      <c r="J263" s="14"/>
    </row>
    <row r="264" spans="1:10" x14ac:dyDescent="0.3">
      <c r="A264" s="13"/>
      <c r="B264" s="14" t="str">
        <f t="shared" si="4"/>
        <v/>
      </c>
      <c r="C264" s="14"/>
      <c r="D264" s="14"/>
      <c r="E264" s="14"/>
      <c r="F264" s="16"/>
      <c r="G264" s="14" t="s">
        <v>34</v>
      </c>
      <c r="H264" s="14" t="s">
        <v>35</v>
      </c>
      <c r="I264" s="14" t="s">
        <v>36</v>
      </c>
      <c r="J264" s="14"/>
    </row>
    <row r="265" spans="1:10" x14ac:dyDescent="0.3">
      <c r="A265" s="13"/>
      <c r="B265" s="14" t="str">
        <f t="shared" si="4"/>
        <v/>
      </c>
      <c r="C265" s="14"/>
      <c r="D265" s="14"/>
      <c r="E265" s="14"/>
      <c r="F265" s="16"/>
      <c r="G265" s="14" t="s">
        <v>34</v>
      </c>
      <c r="H265" s="14" t="s">
        <v>35</v>
      </c>
      <c r="I265" s="14" t="s">
        <v>36</v>
      </c>
      <c r="J265" s="14"/>
    </row>
    <row r="266" spans="1:10" x14ac:dyDescent="0.3">
      <c r="A266" s="13"/>
      <c r="B266" s="14" t="str">
        <f t="shared" si="4"/>
        <v/>
      </c>
      <c r="C266" s="14"/>
      <c r="D266" s="14"/>
      <c r="E266" s="14"/>
      <c r="F266" s="16"/>
      <c r="G266" s="14" t="s">
        <v>34</v>
      </c>
      <c r="H266" s="14" t="s">
        <v>35</v>
      </c>
      <c r="I266" s="14" t="s">
        <v>36</v>
      </c>
      <c r="J266" s="14"/>
    </row>
    <row r="267" spans="1:10" x14ac:dyDescent="0.3">
      <c r="A267" s="13"/>
      <c r="B267" s="14" t="str">
        <f t="shared" si="4"/>
        <v/>
      </c>
      <c r="C267" s="14"/>
      <c r="D267" s="14"/>
      <c r="E267" s="14"/>
      <c r="F267" s="16"/>
      <c r="G267" s="14" t="s">
        <v>34</v>
      </c>
      <c r="H267" s="14" t="s">
        <v>35</v>
      </c>
      <c r="I267" s="14" t="s">
        <v>36</v>
      </c>
      <c r="J267" s="14"/>
    </row>
    <row r="268" spans="1:10" x14ac:dyDescent="0.3">
      <c r="A268" s="13"/>
      <c r="B268" s="14" t="str">
        <f t="shared" si="4"/>
        <v/>
      </c>
      <c r="C268" s="14"/>
      <c r="D268" s="14"/>
      <c r="E268" s="14"/>
      <c r="F268" s="16"/>
      <c r="G268" s="14" t="s">
        <v>34</v>
      </c>
      <c r="H268" s="14" t="s">
        <v>35</v>
      </c>
      <c r="I268" s="14" t="s">
        <v>36</v>
      </c>
      <c r="J268" s="14"/>
    </row>
    <row r="269" spans="1:10" x14ac:dyDescent="0.3">
      <c r="A269" s="13"/>
      <c r="B269" s="14" t="str">
        <f t="shared" si="4"/>
        <v/>
      </c>
      <c r="C269" s="14"/>
      <c r="D269" s="14"/>
      <c r="E269" s="14"/>
      <c r="F269" s="16"/>
      <c r="G269" s="14" t="s">
        <v>34</v>
      </c>
      <c r="H269" s="14" t="s">
        <v>35</v>
      </c>
      <c r="I269" s="14" t="s">
        <v>36</v>
      </c>
      <c r="J269" s="14"/>
    </row>
    <row r="270" spans="1:10" x14ac:dyDescent="0.3">
      <c r="A270" s="13"/>
      <c r="B270" s="14" t="str">
        <f t="shared" si="4"/>
        <v/>
      </c>
      <c r="C270" s="14"/>
      <c r="D270" s="14"/>
      <c r="E270" s="14"/>
      <c r="F270" s="16"/>
      <c r="G270" s="14" t="s">
        <v>34</v>
      </c>
      <c r="H270" s="14" t="s">
        <v>35</v>
      </c>
      <c r="I270" s="14" t="s">
        <v>36</v>
      </c>
      <c r="J270" s="14"/>
    </row>
    <row r="271" spans="1:10" x14ac:dyDescent="0.3">
      <c r="A271" s="13"/>
      <c r="B271" s="14" t="str">
        <f t="shared" si="4"/>
        <v/>
      </c>
      <c r="C271" s="14"/>
      <c r="D271" s="14"/>
      <c r="E271" s="14"/>
      <c r="F271" s="16"/>
      <c r="G271" s="14" t="s">
        <v>34</v>
      </c>
      <c r="H271" s="14" t="s">
        <v>35</v>
      </c>
      <c r="I271" s="14" t="s">
        <v>36</v>
      </c>
      <c r="J271" s="14"/>
    </row>
    <row r="272" spans="1:10" x14ac:dyDescent="0.3">
      <c r="A272" s="13"/>
      <c r="B272" s="14" t="str">
        <f t="shared" si="4"/>
        <v/>
      </c>
      <c r="C272" s="14"/>
      <c r="D272" s="14"/>
      <c r="E272" s="14"/>
      <c r="F272" s="16"/>
      <c r="G272" s="14" t="s">
        <v>34</v>
      </c>
      <c r="H272" s="14" t="s">
        <v>35</v>
      </c>
      <c r="I272" s="14" t="s">
        <v>36</v>
      </c>
      <c r="J272" s="14"/>
    </row>
    <row r="273" spans="1:10" x14ac:dyDescent="0.3">
      <c r="A273" s="13"/>
      <c r="B273" s="14" t="str">
        <f t="shared" si="4"/>
        <v/>
      </c>
      <c r="C273" s="14"/>
      <c r="D273" s="14"/>
      <c r="E273" s="14"/>
      <c r="F273" s="16"/>
      <c r="G273" s="14" t="s">
        <v>34</v>
      </c>
      <c r="H273" s="14" t="s">
        <v>35</v>
      </c>
      <c r="I273" s="14" t="s">
        <v>36</v>
      </c>
      <c r="J273" s="14"/>
    </row>
    <row r="274" spans="1:10" x14ac:dyDescent="0.3">
      <c r="A274" s="13"/>
      <c r="B274" s="14" t="str">
        <f t="shared" si="4"/>
        <v/>
      </c>
      <c r="C274" s="14"/>
      <c r="D274" s="14"/>
      <c r="E274" s="14"/>
      <c r="F274" s="16"/>
      <c r="G274" s="14" t="s">
        <v>34</v>
      </c>
      <c r="H274" s="14" t="s">
        <v>35</v>
      </c>
      <c r="I274" s="14" t="s">
        <v>36</v>
      </c>
      <c r="J274" s="14"/>
    </row>
    <row r="275" spans="1:10" x14ac:dyDescent="0.3">
      <c r="A275" s="13"/>
      <c r="B275" s="14" t="str">
        <f t="shared" si="4"/>
        <v/>
      </c>
      <c r="C275" s="14"/>
      <c r="D275" s="14"/>
      <c r="E275" s="14"/>
      <c r="F275" s="16"/>
      <c r="G275" s="14" t="s">
        <v>34</v>
      </c>
      <c r="H275" s="14" t="s">
        <v>35</v>
      </c>
      <c r="I275" s="14" t="s">
        <v>36</v>
      </c>
      <c r="J275" s="14"/>
    </row>
    <row r="276" spans="1:10" x14ac:dyDescent="0.3">
      <c r="A276" s="13"/>
      <c r="B276" s="14" t="str">
        <f t="shared" si="4"/>
        <v/>
      </c>
      <c r="C276" s="14"/>
      <c r="D276" s="14"/>
      <c r="E276" s="14"/>
      <c r="F276" s="16"/>
      <c r="G276" s="14" t="s">
        <v>34</v>
      </c>
      <c r="H276" s="14" t="s">
        <v>35</v>
      </c>
      <c r="I276" s="14" t="s">
        <v>36</v>
      </c>
      <c r="J276" s="14"/>
    </row>
    <row r="277" spans="1:10" x14ac:dyDescent="0.3">
      <c r="A277" s="13"/>
      <c r="B277" s="14" t="str">
        <f t="shared" si="4"/>
        <v/>
      </c>
      <c r="C277" s="14"/>
      <c r="D277" s="14"/>
      <c r="E277" s="14"/>
      <c r="F277" s="16"/>
      <c r="G277" s="14" t="s">
        <v>34</v>
      </c>
      <c r="H277" s="14" t="s">
        <v>35</v>
      </c>
      <c r="I277" s="14" t="s">
        <v>36</v>
      </c>
      <c r="J277" s="14"/>
    </row>
    <row r="278" spans="1:10" x14ac:dyDescent="0.3">
      <c r="A278" s="13"/>
      <c r="B278" s="14" t="str">
        <f t="shared" si="4"/>
        <v/>
      </c>
      <c r="C278" s="14"/>
      <c r="D278" s="14"/>
      <c r="E278" s="14"/>
      <c r="F278" s="16"/>
      <c r="G278" s="14" t="s">
        <v>34</v>
      </c>
      <c r="H278" s="14" t="s">
        <v>35</v>
      </c>
      <c r="I278" s="14" t="s">
        <v>36</v>
      </c>
      <c r="J278" s="14"/>
    </row>
    <row r="279" spans="1:10" x14ac:dyDescent="0.3">
      <c r="A279" s="13"/>
      <c r="B279" s="14" t="str">
        <f t="shared" si="4"/>
        <v/>
      </c>
      <c r="C279" s="14"/>
      <c r="D279" s="14"/>
      <c r="E279" s="14"/>
      <c r="F279" s="16"/>
      <c r="G279" s="14" t="s">
        <v>34</v>
      </c>
      <c r="H279" s="14" t="s">
        <v>35</v>
      </c>
      <c r="I279" s="14" t="s">
        <v>36</v>
      </c>
      <c r="J279" s="14"/>
    </row>
    <row r="280" spans="1:10" x14ac:dyDescent="0.3">
      <c r="A280" s="13"/>
      <c r="B280" s="14" t="str">
        <f t="shared" si="4"/>
        <v/>
      </c>
      <c r="C280" s="14"/>
      <c r="D280" s="14"/>
      <c r="E280" s="14"/>
      <c r="F280" s="16"/>
      <c r="G280" s="14" t="s">
        <v>34</v>
      </c>
      <c r="H280" s="14" t="s">
        <v>35</v>
      </c>
      <c r="I280" s="14" t="s">
        <v>36</v>
      </c>
      <c r="J280" s="14"/>
    </row>
    <row r="281" spans="1:10" x14ac:dyDescent="0.3">
      <c r="A281" s="13"/>
      <c r="B281" s="14" t="str">
        <f t="shared" si="4"/>
        <v/>
      </c>
      <c r="C281" s="14"/>
      <c r="D281" s="14"/>
      <c r="E281" s="14"/>
      <c r="F281" s="16"/>
      <c r="G281" s="14" t="s">
        <v>34</v>
      </c>
      <c r="H281" s="14" t="s">
        <v>35</v>
      </c>
      <c r="I281" s="14" t="s">
        <v>36</v>
      </c>
      <c r="J281" s="14"/>
    </row>
    <row r="282" spans="1:10" x14ac:dyDescent="0.3">
      <c r="A282" s="13"/>
      <c r="B282" s="14" t="str">
        <f t="shared" si="4"/>
        <v/>
      </c>
      <c r="C282" s="14"/>
      <c r="D282" s="14"/>
      <c r="E282" s="14"/>
      <c r="F282" s="16"/>
      <c r="G282" s="14" t="s">
        <v>34</v>
      </c>
      <c r="H282" s="14" t="s">
        <v>35</v>
      </c>
      <c r="I282" s="14" t="s">
        <v>36</v>
      </c>
      <c r="J282" s="14"/>
    </row>
    <row r="283" spans="1:10" x14ac:dyDescent="0.3">
      <c r="A283" s="13"/>
      <c r="B283" s="14" t="str">
        <f t="shared" si="4"/>
        <v/>
      </c>
      <c r="C283" s="14"/>
      <c r="D283" s="14"/>
      <c r="E283" s="14"/>
      <c r="F283" s="16"/>
      <c r="G283" s="14" t="s">
        <v>34</v>
      </c>
      <c r="H283" s="14" t="s">
        <v>35</v>
      </c>
      <c r="I283" s="14" t="s">
        <v>36</v>
      </c>
      <c r="J283" s="14"/>
    </row>
    <row r="284" spans="1:10" x14ac:dyDescent="0.3">
      <c r="A284" s="13"/>
      <c r="B284" s="14" t="str">
        <f t="shared" si="4"/>
        <v/>
      </c>
      <c r="C284" s="14"/>
      <c r="D284" s="14"/>
      <c r="E284" s="14"/>
      <c r="F284" s="16"/>
      <c r="G284" s="14" t="s">
        <v>34</v>
      </c>
      <c r="H284" s="14" t="s">
        <v>35</v>
      </c>
      <c r="I284" s="14" t="s">
        <v>36</v>
      </c>
      <c r="J284" s="14"/>
    </row>
    <row r="285" spans="1:10" x14ac:dyDescent="0.3">
      <c r="A285" s="13"/>
      <c r="B285" s="14" t="str">
        <f t="shared" si="4"/>
        <v/>
      </c>
      <c r="C285" s="14"/>
      <c r="D285" s="14"/>
      <c r="E285" s="14"/>
      <c r="F285" s="16"/>
      <c r="G285" s="14" t="s">
        <v>34</v>
      </c>
      <c r="H285" s="14" t="s">
        <v>35</v>
      </c>
      <c r="I285" s="14" t="s">
        <v>36</v>
      </c>
      <c r="J285" s="14"/>
    </row>
    <row r="286" spans="1:10" x14ac:dyDescent="0.3">
      <c r="A286" s="13"/>
      <c r="B286" s="14" t="str">
        <f t="shared" si="4"/>
        <v/>
      </c>
      <c r="C286" s="14"/>
      <c r="D286" s="14"/>
      <c r="E286" s="14"/>
      <c r="F286" s="16"/>
      <c r="G286" s="14" t="s">
        <v>34</v>
      </c>
      <c r="H286" s="14" t="s">
        <v>35</v>
      </c>
      <c r="I286" s="14" t="s">
        <v>36</v>
      </c>
      <c r="J286" s="14"/>
    </row>
    <row r="287" spans="1:10" x14ac:dyDescent="0.3">
      <c r="A287" s="13"/>
      <c r="B287" s="14" t="str">
        <f t="shared" si="4"/>
        <v/>
      </c>
      <c r="C287" s="14"/>
      <c r="D287" s="14"/>
      <c r="E287" s="14"/>
      <c r="F287" s="16"/>
      <c r="G287" s="14" t="s">
        <v>34</v>
      </c>
      <c r="H287" s="14" t="s">
        <v>35</v>
      </c>
      <c r="I287" s="14" t="s">
        <v>36</v>
      </c>
      <c r="J287" s="14"/>
    </row>
    <row r="288" spans="1:10" x14ac:dyDescent="0.3">
      <c r="A288" s="13"/>
      <c r="B288" s="14" t="str">
        <f t="shared" si="4"/>
        <v/>
      </c>
      <c r="C288" s="14"/>
      <c r="D288" s="14"/>
      <c r="E288" s="14"/>
      <c r="F288" s="16"/>
      <c r="G288" s="14" t="s">
        <v>34</v>
      </c>
      <c r="H288" s="14" t="s">
        <v>35</v>
      </c>
      <c r="I288" s="14" t="s">
        <v>36</v>
      </c>
      <c r="J288" s="14"/>
    </row>
    <row r="289" spans="1:10" x14ac:dyDescent="0.3">
      <c r="A289" s="13"/>
      <c r="B289" s="14" t="str">
        <f t="shared" si="4"/>
        <v/>
      </c>
      <c r="C289" s="14"/>
      <c r="D289" s="14"/>
      <c r="E289" s="14"/>
      <c r="F289" s="16"/>
      <c r="G289" s="14" t="s">
        <v>34</v>
      </c>
      <c r="H289" s="14" t="s">
        <v>35</v>
      </c>
      <c r="I289" s="14" t="s">
        <v>36</v>
      </c>
      <c r="J289" s="14"/>
    </row>
    <row r="290" spans="1:10" x14ac:dyDescent="0.3">
      <c r="A290" s="13"/>
      <c r="B290" s="14" t="str">
        <f t="shared" si="4"/>
        <v/>
      </c>
      <c r="C290" s="14"/>
      <c r="D290" s="14"/>
      <c r="E290" s="14"/>
      <c r="F290" s="16"/>
      <c r="G290" s="14" t="s">
        <v>34</v>
      </c>
      <c r="H290" s="14" t="s">
        <v>35</v>
      </c>
      <c r="I290" s="14" t="s">
        <v>36</v>
      </c>
      <c r="J290" s="14"/>
    </row>
    <row r="291" spans="1:10" x14ac:dyDescent="0.3">
      <c r="A291" s="13"/>
      <c r="B291" s="14" t="str">
        <f t="shared" si="4"/>
        <v/>
      </c>
      <c r="C291" s="14"/>
      <c r="D291" s="14"/>
      <c r="E291" s="14"/>
      <c r="F291" s="16"/>
      <c r="G291" s="14" t="s">
        <v>34</v>
      </c>
      <c r="H291" s="14" t="s">
        <v>35</v>
      </c>
      <c r="I291" s="14" t="s">
        <v>36</v>
      </c>
      <c r="J291" s="14"/>
    </row>
    <row r="292" spans="1:10" x14ac:dyDescent="0.3">
      <c r="A292" s="13"/>
      <c r="B292" s="14" t="str">
        <f t="shared" si="4"/>
        <v/>
      </c>
      <c r="C292" s="14"/>
      <c r="D292" s="14"/>
      <c r="E292" s="14"/>
      <c r="F292" s="16"/>
      <c r="G292" s="14" t="s">
        <v>34</v>
      </c>
      <c r="H292" s="14" t="s">
        <v>35</v>
      </c>
      <c r="I292" s="14" t="s">
        <v>36</v>
      </c>
      <c r="J292" s="14"/>
    </row>
    <row r="293" spans="1:10" x14ac:dyDescent="0.3">
      <c r="A293" s="13"/>
      <c r="B293" s="14" t="str">
        <f t="shared" si="4"/>
        <v/>
      </c>
      <c r="C293" s="14"/>
      <c r="D293" s="14"/>
      <c r="E293" s="14"/>
      <c r="F293" s="16"/>
      <c r="G293" s="14" t="s">
        <v>34</v>
      </c>
      <c r="H293" s="14" t="s">
        <v>35</v>
      </c>
      <c r="I293" s="14" t="s">
        <v>36</v>
      </c>
      <c r="J293" s="14"/>
    </row>
    <row r="294" spans="1:10" x14ac:dyDescent="0.3">
      <c r="A294" s="13"/>
      <c r="B294" s="14" t="str">
        <f t="shared" si="4"/>
        <v/>
      </c>
      <c r="C294" s="14"/>
      <c r="D294" s="14"/>
      <c r="E294" s="14"/>
      <c r="F294" s="16"/>
      <c r="G294" s="14" t="s">
        <v>34</v>
      </c>
      <c r="H294" s="14" t="s">
        <v>35</v>
      </c>
      <c r="I294" s="14" t="s">
        <v>36</v>
      </c>
      <c r="J294" s="14"/>
    </row>
    <row r="295" spans="1:10" x14ac:dyDescent="0.3">
      <c r="A295" s="13"/>
      <c r="B295" s="14" t="str">
        <f t="shared" si="4"/>
        <v/>
      </c>
      <c r="C295" s="14"/>
      <c r="D295" s="14"/>
      <c r="E295" s="14"/>
      <c r="F295" s="16"/>
      <c r="G295" s="14" t="s">
        <v>34</v>
      </c>
      <c r="H295" s="14" t="s">
        <v>35</v>
      </c>
      <c r="I295" s="14" t="s">
        <v>36</v>
      </c>
      <c r="J295" s="14"/>
    </row>
    <row r="296" spans="1:10" x14ac:dyDescent="0.3">
      <c r="A296" s="13"/>
      <c r="B296" s="14" t="str">
        <f t="shared" si="4"/>
        <v/>
      </c>
      <c r="C296" s="14"/>
      <c r="D296" s="14"/>
      <c r="E296" s="14"/>
      <c r="F296" s="16"/>
      <c r="G296" s="14" t="s">
        <v>34</v>
      </c>
      <c r="H296" s="14" t="s">
        <v>35</v>
      </c>
      <c r="I296" s="14" t="s">
        <v>36</v>
      </c>
      <c r="J296" s="14"/>
    </row>
    <row r="297" spans="1:10" x14ac:dyDescent="0.3">
      <c r="A297" s="13"/>
      <c r="B297" s="14" t="str">
        <f t="shared" si="4"/>
        <v/>
      </c>
      <c r="C297" s="14"/>
      <c r="D297" s="14"/>
      <c r="E297" s="14"/>
      <c r="F297" s="16"/>
      <c r="G297" s="14" t="s">
        <v>34</v>
      </c>
      <c r="H297" s="14" t="s">
        <v>35</v>
      </c>
      <c r="I297" s="14" t="s">
        <v>36</v>
      </c>
      <c r="J297" s="14"/>
    </row>
    <row r="298" spans="1:10" x14ac:dyDescent="0.3">
      <c r="A298" s="13"/>
      <c r="B298" s="14" t="str">
        <f t="shared" si="4"/>
        <v/>
      </c>
      <c r="C298" s="14"/>
      <c r="D298" s="14"/>
      <c r="E298" s="14"/>
      <c r="F298" s="16"/>
      <c r="G298" s="14" t="s">
        <v>34</v>
      </c>
      <c r="H298" s="14" t="s">
        <v>35</v>
      </c>
      <c r="I298" s="14" t="s">
        <v>36</v>
      </c>
      <c r="J298" s="14"/>
    </row>
    <row r="299" spans="1:10" x14ac:dyDescent="0.3">
      <c r="A299" s="13"/>
      <c r="B299" s="14" t="str">
        <f t="shared" si="4"/>
        <v/>
      </c>
      <c r="C299" s="14"/>
      <c r="D299" s="14"/>
      <c r="E299" s="14"/>
      <c r="F299" s="16"/>
      <c r="G299" s="14" t="s">
        <v>34</v>
      </c>
      <c r="H299" s="14" t="s">
        <v>35</v>
      </c>
      <c r="I299" s="14" t="s">
        <v>36</v>
      </c>
      <c r="J299" s="14"/>
    </row>
    <row r="300" spans="1:10" x14ac:dyDescent="0.3">
      <c r="A300" s="13"/>
      <c r="B300" s="14" t="str">
        <f t="shared" si="4"/>
        <v/>
      </c>
      <c r="C300" s="14"/>
      <c r="D300" s="14"/>
      <c r="E300" s="14"/>
      <c r="F300" s="16"/>
      <c r="G300" s="14" t="s">
        <v>34</v>
      </c>
      <c r="H300" s="14" t="s">
        <v>35</v>
      </c>
      <c r="I300" s="14" t="s">
        <v>36</v>
      </c>
      <c r="J300" s="14"/>
    </row>
    <row r="301" spans="1:10" x14ac:dyDescent="0.3">
      <c r="A301" s="13"/>
      <c r="B301" s="14" t="str">
        <f t="shared" si="4"/>
        <v/>
      </c>
      <c r="C301" s="14"/>
      <c r="D301" s="14"/>
      <c r="E301" s="14"/>
      <c r="F301" s="16"/>
      <c r="G301" s="14" t="s">
        <v>34</v>
      </c>
      <c r="H301" s="14" t="s">
        <v>35</v>
      </c>
      <c r="I301" s="14" t="s">
        <v>36</v>
      </c>
      <c r="J301" s="14"/>
    </row>
    <row r="302" spans="1:10" x14ac:dyDescent="0.3">
      <c r="A302" s="13"/>
      <c r="B302" s="14" t="str">
        <f t="shared" si="4"/>
        <v/>
      </c>
      <c r="C302" s="14"/>
      <c r="D302" s="14"/>
      <c r="E302" s="14"/>
      <c r="F302" s="16"/>
      <c r="G302" s="14" t="s">
        <v>34</v>
      </c>
      <c r="H302" s="14" t="s">
        <v>35</v>
      </c>
      <c r="I302" s="14" t="s">
        <v>36</v>
      </c>
      <c r="J302" s="14"/>
    </row>
    <row r="303" spans="1:10" x14ac:dyDescent="0.3">
      <c r="A303" s="13"/>
      <c r="B303" s="14" t="str">
        <f t="shared" si="4"/>
        <v/>
      </c>
      <c r="C303" s="14"/>
      <c r="D303" s="14"/>
      <c r="E303" s="14"/>
      <c r="F303" s="16"/>
      <c r="G303" s="14" t="s">
        <v>34</v>
      </c>
      <c r="H303" s="14" t="s">
        <v>35</v>
      </c>
      <c r="I303" s="14" t="s">
        <v>36</v>
      </c>
      <c r="J303" s="14"/>
    </row>
    <row r="304" spans="1:10" x14ac:dyDescent="0.3">
      <c r="A304" s="13"/>
      <c r="B304" s="14" t="str">
        <f t="shared" si="4"/>
        <v/>
      </c>
      <c r="C304" s="14"/>
      <c r="D304" s="14"/>
      <c r="E304" s="14"/>
      <c r="F304" s="16"/>
      <c r="G304" s="14" t="s">
        <v>34</v>
      </c>
      <c r="H304" s="14" t="s">
        <v>35</v>
      </c>
      <c r="I304" s="14" t="s">
        <v>36</v>
      </c>
      <c r="J304" s="14"/>
    </row>
    <row r="305" spans="1:10" x14ac:dyDescent="0.3">
      <c r="A305" s="13"/>
      <c r="B305" s="14" t="str">
        <f t="shared" si="4"/>
        <v/>
      </c>
      <c r="C305" s="14"/>
      <c r="D305" s="14"/>
      <c r="E305" s="14"/>
      <c r="F305" s="16"/>
      <c r="G305" s="14" t="s">
        <v>34</v>
      </c>
      <c r="H305" s="14" t="s">
        <v>35</v>
      </c>
      <c r="I305" s="14" t="s">
        <v>36</v>
      </c>
      <c r="J305" s="14"/>
    </row>
    <row r="306" spans="1:10" x14ac:dyDescent="0.3">
      <c r="A306" s="13"/>
      <c r="B306" s="14" t="str">
        <f t="shared" si="4"/>
        <v/>
      </c>
      <c r="C306" s="14"/>
      <c r="D306" s="14"/>
      <c r="E306" s="14"/>
      <c r="F306" s="16"/>
      <c r="G306" s="14" t="s">
        <v>34</v>
      </c>
      <c r="H306" s="14" t="s">
        <v>35</v>
      </c>
      <c r="I306" s="14" t="s">
        <v>36</v>
      </c>
      <c r="J306" s="14"/>
    </row>
    <row r="307" spans="1:10" x14ac:dyDescent="0.3">
      <c r="A307" s="13"/>
      <c r="B307" s="14" t="str">
        <f t="shared" si="4"/>
        <v/>
      </c>
      <c r="C307" s="14"/>
      <c r="D307" s="14"/>
      <c r="E307" s="14"/>
      <c r="F307" s="16"/>
      <c r="G307" s="14" t="s">
        <v>34</v>
      </c>
      <c r="H307" s="14" t="s">
        <v>35</v>
      </c>
      <c r="I307" s="14" t="s">
        <v>36</v>
      </c>
      <c r="J307" s="14"/>
    </row>
    <row r="308" spans="1:10" x14ac:dyDescent="0.3">
      <c r="A308" s="13"/>
      <c r="B308" s="14" t="str">
        <f t="shared" si="4"/>
        <v/>
      </c>
      <c r="C308" s="14"/>
      <c r="D308" s="14"/>
      <c r="E308" s="14"/>
      <c r="F308" s="16"/>
      <c r="G308" s="14" t="s">
        <v>34</v>
      </c>
      <c r="H308" s="14" t="s">
        <v>35</v>
      </c>
      <c r="I308" s="14" t="s">
        <v>36</v>
      </c>
      <c r="J308" s="14"/>
    </row>
    <row r="309" spans="1:10" x14ac:dyDescent="0.3">
      <c r="A309" s="13"/>
      <c r="B309" s="14" t="str">
        <f t="shared" si="4"/>
        <v/>
      </c>
      <c r="C309" s="14"/>
      <c r="D309" s="14"/>
      <c r="E309" s="14"/>
      <c r="F309" s="16"/>
      <c r="G309" s="14" t="s">
        <v>34</v>
      </c>
      <c r="H309" s="14" t="s">
        <v>35</v>
      </c>
      <c r="I309" s="14" t="s">
        <v>36</v>
      </c>
      <c r="J309" s="14"/>
    </row>
    <row r="310" spans="1:10" x14ac:dyDescent="0.3">
      <c r="A310" s="13"/>
      <c r="B310" s="14" t="str">
        <f t="shared" si="4"/>
        <v/>
      </c>
      <c r="C310" s="14"/>
      <c r="D310" s="14"/>
      <c r="E310" s="14"/>
      <c r="F310" s="16"/>
      <c r="G310" s="14" t="s">
        <v>34</v>
      </c>
      <c r="H310" s="14" t="s">
        <v>35</v>
      </c>
      <c r="I310" s="14" t="s">
        <v>36</v>
      </c>
      <c r="J310" s="14"/>
    </row>
    <row r="311" spans="1:10" x14ac:dyDescent="0.3">
      <c r="A311" s="13"/>
      <c r="B311" s="14" t="str">
        <f t="shared" si="4"/>
        <v/>
      </c>
      <c r="C311" s="14"/>
      <c r="D311" s="14"/>
      <c r="E311" s="14"/>
      <c r="F311" s="16"/>
      <c r="G311" s="14" t="s">
        <v>34</v>
      </c>
      <c r="H311" s="14" t="s">
        <v>35</v>
      </c>
      <c r="I311" s="14" t="s">
        <v>36</v>
      </c>
      <c r="J311" s="14"/>
    </row>
    <row r="312" spans="1:10" x14ac:dyDescent="0.3">
      <c r="A312" s="13"/>
      <c r="B312" s="14" t="str">
        <f t="shared" si="4"/>
        <v/>
      </c>
      <c r="C312" s="14"/>
      <c r="D312" s="14"/>
      <c r="E312" s="14"/>
      <c r="F312" s="16"/>
      <c r="G312" s="14" t="s">
        <v>34</v>
      </c>
      <c r="H312" s="14" t="s">
        <v>35</v>
      </c>
      <c r="I312" s="14" t="s">
        <v>36</v>
      </c>
      <c r="J312" s="14"/>
    </row>
    <row r="313" spans="1:10" x14ac:dyDescent="0.3">
      <c r="A313" s="13"/>
      <c r="B313" s="14" t="str">
        <f t="shared" si="4"/>
        <v/>
      </c>
      <c r="C313" s="14"/>
      <c r="D313" s="14"/>
      <c r="E313" s="14"/>
      <c r="F313" s="16"/>
      <c r="G313" s="14" t="s">
        <v>34</v>
      </c>
      <c r="H313" s="14" t="s">
        <v>35</v>
      </c>
      <c r="I313" s="14" t="s">
        <v>36</v>
      </c>
      <c r="J313" s="14"/>
    </row>
    <row r="314" spans="1:10" x14ac:dyDescent="0.3">
      <c r="A314" s="13"/>
      <c r="B314" s="14" t="str">
        <f t="shared" si="4"/>
        <v/>
      </c>
      <c r="C314" s="14"/>
      <c r="D314" s="14"/>
      <c r="E314" s="14"/>
      <c r="F314" s="16"/>
      <c r="G314" s="14" t="s">
        <v>34</v>
      </c>
      <c r="H314" s="14" t="s">
        <v>35</v>
      </c>
      <c r="I314" s="14" t="s">
        <v>36</v>
      </c>
      <c r="J314" s="14"/>
    </row>
    <row r="315" spans="1:10" x14ac:dyDescent="0.3">
      <c r="A315" s="13"/>
      <c r="B315" s="14" t="str">
        <f t="shared" si="4"/>
        <v/>
      </c>
      <c r="C315" s="14"/>
      <c r="D315" s="14"/>
      <c r="E315" s="14"/>
      <c r="F315" s="16"/>
      <c r="G315" s="14" t="s">
        <v>34</v>
      </c>
      <c r="H315" s="14" t="s">
        <v>35</v>
      </c>
      <c r="I315" s="14" t="s">
        <v>36</v>
      </c>
      <c r="J315" s="14"/>
    </row>
    <row r="316" spans="1:10" x14ac:dyDescent="0.3">
      <c r="A316" s="13"/>
      <c r="B316" s="14" t="str">
        <f t="shared" si="4"/>
        <v/>
      </c>
      <c r="C316" s="14"/>
      <c r="D316" s="14"/>
      <c r="E316" s="14"/>
      <c r="F316" s="16"/>
      <c r="G316" s="14" t="s">
        <v>34</v>
      </c>
      <c r="H316" s="14" t="s">
        <v>35</v>
      </c>
      <c r="I316" s="14" t="s">
        <v>36</v>
      </c>
      <c r="J316" s="14"/>
    </row>
    <row r="317" spans="1:10" x14ac:dyDescent="0.3">
      <c r="A317" s="13"/>
      <c r="B317" s="14" t="str">
        <f t="shared" si="4"/>
        <v/>
      </c>
      <c r="C317" s="14"/>
      <c r="D317" s="14"/>
      <c r="E317" s="14"/>
      <c r="F317" s="16"/>
      <c r="G317" s="14" t="s">
        <v>34</v>
      </c>
      <c r="H317" s="14" t="s">
        <v>35</v>
      </c>
      <c r="I317" s="14" t="s">
        <v>36</v>
      </c>
      <c r="J317" s="14"/>
    </row>
    <row r="318" spans="1:10" x14ac:dyDescent="0.3">
      <c r="A318" s="13"/>
      <c r="B318" s="14" t="str">
        <f t="shared" si="4"/>
        <v/>
      </c>
      <c r="C318" s="14"/>
      <c r="D318" s="14"/>
      <c r="E318" s="14"/>
      <c r="F318" s="16"/>
      <c r="G318" s="14" t="s">
        <v>34</v>
      </c>
      <c r="H318" s="14" t="s">
        <v>35</v>
      </c>
      <c r="I318" s="14" t="s">
        <v>36</v>
      </c>
      <c r="J318" s="14"/>
    </row>
    <row r="319" spans="1:10" x14ac:dyDescent="0.3">
      <c r="A319" s="13"/>
      <c r="B319" s="14" t="str">
        <f t="shared" si="4"/>
        <v/>
      </c>
      <c r="C319" s="14"/>
      <c r="D319" s="14"/>
      <c r="E319" s="14"/>
      <c r="F319" s="16"/>
      <c r="G319" s="14" t="s">
        <v>34</v>
      </c>
      <c r="H319" s="14" t="s">
        <v>35</v>
      </c>
      <c r="I319" s="14" t="s">
        <v>36</v>
      </c>
      <c r="J319" s="14"/>
    </row>
    <row r="320" spans="1:10" x14ac:dyDescent="0.3">
      <c r="A320" s="13"/>
      <c r="B320" s="14" t="str">
        <f t="shared" si="4"/>
        <v/>
      </c>
      <c r="C320" s="14"/>
      <c r="D320" s="14"/>
      <c r="E320" s="14"/>
      <c r="F320" s="16"/>
      <c r="G320" s="14" t="s">
        <v>34</v>
      </c>
      <c r="H320" s="14" t="s">
        <v>35</v>
      </c>
      <c r="I320" s="14" t="s">
        <v>36</v>
      </c>
      <c r="J320" s="14"/>
    </row>
    <row r="321" spans="1:10" x14ac:dyDescent="0.3">
      <c r="A321" s="13"/>
      <c r="B321" s="14" t="str">
        <f t="shared" si="4"/>
        <v/>
      </c>
      <c r="C321" s="14"/>
      <c r="D321" s="14"/>
      <c r="E321" s="14"/>
      <c r="F321" s="16"/>
      <c r="G321" s="14" t="s">
        <v>34</v>
      </c>
      <c r="H321" s="14" t="s">
        <v>35</v>
      </c>
      <c r="I321" s="14" t="s">
        <v>36</v>
      </c>
      <c r="J321" s="14"/>
    </row>
    <row r="322" spans="1:10" x14ac:dyDescent="0.3">
      <c r="A322" s="13"/>
      <c r="B322" s="14" t="str">
        <f t="shared" ref="B322:B385" si="5">IF(A322="","", "I"&amp;TEXT(A322,"yymmdd")&amp;"-"&amp;TEXT(ROW()-1,"0000"))</f>
        <v/>
      </c>
      <c r="C322" s="14"/>
      <c r="D322" s="14"/>
      <c r="E322" s="14"/>
      <c r="F322" s="16"/>
      <c r="G322" s="14" t="s">
        <v>34</v>
      </c>
      <c r="H322" s="14" t="s">
        <v>35</v>
      </c>
      <c r="I322" s="14" t="s">
        <v>36</v>
      </c>
      <c r="J322" s="14"/>
    </row>
    <row r="323" spans="1:10" x14ac:dyDescent="0.3">
      <c r="A323" s="13"/>
      <c r="B323" s="14" t="str">
        <f t="shared" si="5"/>
        <v/>
      </c>
      <c r="C323" s="14"/>
      <c r="D323" s="14"/>
      <c r="E323" s="14"/>
      <c r="F323" s="16"/>
      <c r="G323" s="14" t="s">
        <v>34</v>
      </c>
      <c r="H323" s="14" t="s">
        <v>35</v>
      </c>
      <c r="I323" s="14" t="s">
        <v>36</v>
      </c>
      <c r="J323" s="14"/>
    </row>
    <row r="324" spans="1:10" x14ac:dyDescent="0.3">
      <c r="A324" s="13"/>
      <c r="B324" s="14" t="str">
        <f t="shared" si="5"/>
        <v/>
      </c>
      <c r="C324" s="14"/>
      <c r="D324" s="14"/>
      <c r="E324" s="14"/>
      <c r="F324" s="16"/>
      <c r="G324" s="14" t="s">
        <v>34</v>
      </c>
      <c r="H324" s="14" t="s">
        <v>35</v>
      </c>
      <c r="I324" s="14" t="s">
        <v>36</v>
      </c>
      <c r="J324" s="14"/>
    </row>
    <row r="325" spans="1:10" x14ac:dyDescent="0.3">
      <c r="A325" s="13"/>
      <c r="B325" s="14" t="str">
        <f t="shared" si="5"/>
        <v/>
      </c>
      <c r="C325" s="14"/>
      <c r="D325" s="14"/>
      <c r="E325" s="14"/>
      <c r="F325" s="16"/>
      <c r="G325" s="14" t="s">
        <v>34</v>
      </c>
      <c r="H325" s="14" t="s">
        <v>35</v>
      </c>
      <c r="I325" s="14" t="s">
        <v>36</v>
      </c>
      <c r="J325" s="14"/>
    </row>
    <row r="326" spans="1:10" x14ac:dyDescent="0.3">
      <c r="A326" s="13"/>
      <c r="B326" s="14" t="str">
        <f t="shared" si="5"/>
        <v/>
      </c>
      <c r="C326" s="14"/>
      <c r="D326" s="14"/>
      <c r="E326" s="14"/>
      <c r="F326" s="16"/>
      <c r="G326" s="14" t="s">
        <v>34</v>
      </c>
      <c r="H326" s="14" t="s">
        <v>35</v>
      </c>
      <c r="I326" s="14" t="s">
        <v>36</v>
      </c>
      <c r="J326" s="14"/>
    </row>
    <row r="327" spans="1:10" x14ac:dyDescent="0.3">
      <c r="A327" s="13"/>
      <c r="B327" s="14" t="str">
        <f t="shared" si="5"/>
        <v/>
      </c>
      <c r="C327" s="14"/>
      <c r="D327" s="14"/>
      <c r="E327" s="14"/>
      <c r="F327" s="16"/>
      <c r="G327" s="14" t="s">
        <v>34</v>
      </c>
      <c r="H327" s="14" t="s">
        <v>35</v>
      </c>
      <c r="I327" s="14" t="s">
        <v>36</v>
      </c>
      <c r="J327" s="14"/>
    </row>
    <row r="328" spans="1:10" x14ac:dyDescent="0.3">
      <c r="A328" s="13"/>
      <c r="B328" s="14" t="str">
        <f t="shared" si="5"/>
        <v/>
      </c>
      <c r="C328" s="14"/>
      <c r="D328" s="14"/>
      <c r="E328" s="14"/>
      <c r="F328" s="16"/>
      <c r="G328" s="14" t="s">
        <v>34</v>
      </c>
      <c r="H328" s="14" t="s">
        <v>35</v>
      </c>
      <c r="I328" s="14" t="s">
        <v>36</v>
      </c>
      <c r="J328" s="14"/>
    </row>
    <row r="329" spans="1:10" x14ac:dyDescent="0.3">
      <c r="A329" s="13"/>
      <c r="B329" s="14" t="str">
        <f t="shared" si="5"/>
        <v/>
      </c>
      <c r="C329" s="14"/>
      <c r="D329" s="14"/>
      <c r="E329" s="14"/>
      <c r="F329" s="16"/>
      <c r="G329" s="14" t="s">
        <v>34</v>
      </c>
      <c r="H329" s="14" t="s">
        <v>35</v>
      </c>
      <c r="I329" s="14" t="s">
        <v>36</v>
      </c>
      <c r="J329" s="14"/>
    </row>
    <row r="330" spans="1:10" x14ac:dyDescent="0.3">
      <c r="A330" s="13"/>
      <c r="B330" s="14" t="str">
        <f t="shared" si="5"/>
        <v/>
      </c>
      <c r="C330" s="14"/>
      <c r="D330" s="14"/>
      <c r="E330" s="14"/>
      <c r="F330" s="16"/>
      <c r="G330" s="14" t="s">
        <v>34</v>
      </c>
      <c r="H330" s="14" t="s">
        <v>35</v>
      </c>
      <c r="I330" s="14" t="s">
        <v>36</v>
      </c>
      <c r="J330" s="14"/>
    </row>
    <row r="331" spans="1:10" x14ac:dyDescent="0.3">
      <c r="A331" s="13"/>
      <c r="B331" s="14" t="str">
        <f t="shared" si="5"/>
        <v/>
      </c>
      <c r="C331" s="14"/>
      <c r="D331" s="14"/>
      <c r="E331" s="14"/>
      <c r="F331" s="16"/>
      <c r="G331" s="14" t="s">
        <v>34</v>
      </c>
      <c r="H331" s="14" t="s">
        <v>35</v>
      </c>
      <c r="I331" s="14" t="s">
        <v>36</v>
      </c>
      <c r="J331" s="14"/>
    </row>
    <row r="332" spans="1:10" x14ac:dyDescent="0.3">
      <c r="A332" s="13"/>
      <c r="B332" s="14" t="str">
        <f t="shared" si="5"/>
        <v/>
      </c>
      <c r="C332" s="14"/>
      <c r="D332" s="14"/>
      <c r="E332" s="14"/>
      <c r="F332" s="16"/>
      <c r="G332" s="14" t="s">
        <v>34</v>
      </c>
      <c r="H332" s="14" t="s">
        <v>35</v>
      </c>
      <c r="I332" s="14" t="s">
        <v>36</v>
      </c>
      <c r="J332" s="14"/>
    </row>
    <row r="333" spans="1:10" x14ac:dyDescent="0.3">
      <c r="A333" s="13"/>
      <c r="B333" s="14" t="str">
        <f t="shared" si="5"/>
        <v/>
      </c>
      <c r="C333" s="14"/>
      <c r="D333" s="14"/>
      <c r="E333" s="14"/>
      <c r="F333" s="16"/>
      <c r="G333" s="14" t="s">
        <v>34</v>
      </c>
      <c r="H333" s="14" t="s">
        <v>35</v>
      </c>
      <c r="I333" s="14" t="s">
        <v>36</v>
      </c>
      <c r="J333" s="14"/>
    </row>
    <row r="334" spans="1:10" x14ac:dyDescent="0.3">
      <c r="A334" s="13"/>
      <c r="B334" s="14" t="str">
        <f t="shared" si="5"/>
        <v/>
      </c>
      <c r="C334" s="14"/>
      <c r="D334" s="14"/>
      <c r="E334" s="14"/>
      <c r="F334" s="16"/>
      <c r="G334" s="14" t="s">
        <v>34</v>
      </c>
      <c r="H334" s="14" t="s">
        <v>35</v>
      </c>
      <c r="I334" s="14" t="s">
        <v>36</v>
      </c>
      <c r="J334" s="14"/>
    </row>
    <row r="335" spans="1:10" x14ac:dyDescent="0.3">
      <c r="A335" s="13"/>
      <c r="B335" s="14" t="str">
        <f t="shared" si="5"/>
        <v/>
      </c>
      <c r="C335" s="14"/>
      <c r="D335" s="14"/>
      <c r="E335" s="14"/>
      <c r="F335" s="16"/>
      <c r="G335" s="14" t="s">
        <v>34</v>
      </c>
      <c r="H335" s="14" t="s">
        <v>35</v>
      </c>
      <c r="I335" s="14" t="s">
        <v>36</v>
      </c>
      <c r="J335" s="14"/>
    </row>
    <row r="336" spans="1:10" x14ac:dyDescent="0.3">
      <c r="A336" s="13"/>
      <c r="B336" s="14" t="str">
        <f t="shared" si="5"/>
        <v/>
      </c>
      <c r="C336" s="14"/>
      <c r="D336" s="14"/>
      <c r="E336" s="14"/>
      <c r="F336" s="16"/>
      <c r="G336" s="14" t="s">
        <v>34</v>
      </c>
      <c r="H336" s="14" t="s">
        <v>35</v>
      </c>
      <c r="I336" s="14" t="s">
        <v>36</v>
      </c>
      <c r="J336" s="14"/>
    </row>
    <row r="337" spans="1:10" x14ac:dyDescent="0.3">
      <c r="A337" s="13"/>
      <c r="B337" s="14" t="str">
        <f t="shared" si="5"/>
        <v/>
      </c>
      <c r="C337" s="14"/>
      <c r="D337" s="14"/>
      <c r="E337" s="14"/>
      <c r="F337" s="16"/>
      <c r="G337" s="14" t="s">
        <v>34</v>
      </c>
      <c r="H337" s="14" t="s">
        <v>35</v>
      </c>
      <c r="I337" s="14" t="s">
        <v>36</v>
      </c>
      <c r="J337" s="14"/>
    </row>
    <row r="338" spans="1:10" x14ac:dyDescent="0.3">
      <c r="A338" s="13"/>
      <c r="B338" s="14" t="str">
        <f t="shared" si="5"/>
        <v/>
      </c>
      <c r="C338" s="14"/>
      <c r="D338" s="14"/>
      <c r="E338" s="14"/>
      <c r="F338" s="16"/>
      <c r="G338" s="14" t="s">
        <v>34</v>
      </c>
      <c r="H338" s="14" t="s">
        <v>35</v>
      </c>
      <c r="I338" s="14" t="s">
        <v>36</v>
      </c>
      <c r="J338" s="14"/>
    </row>
    <row r="339" spans="1:10" x14ac:dyDescent="0.3">
      <c r="A339" s="13"/>
      <c r="B339" s="14" t="str">
        <f t="shared" si="5"/>
        <v/>
      </c>
      <c r="C339" s="14"/>
      <c r="D339" s="14"/>
      <c r="E339" s="14"/>
      <c r="F339" s="16"/>
      <c r="G339" s="14" t="s">
        <v>34</v>
      </c>
      <c r="H339" s="14" t="s">
        <v>35</v>
      </c>
      <c r="I339" s="14" t="s">
        <v>36</v>
      </c>
      <c r="J339" s="14"/>
    </row>
    <row r="340" spans="1:10" x14ac:dyDescent="0.3">
      <c r="A340" s="13"/>
      <c r="B340" s="14" t="str">
        <f t="shared" si="5"/>
        <v/>
      </c>
      <c r="C340" s="14"/>
      <c r="D340" s="14"/>
      <c r="E340" s="14"/>
      <c r="F340" s="16"/>
      <c r="G340" s="14" t="s">
        <v>34</v>
      </c>
      <c r="H340" s="14" t="s">
        <v>35</v>
      </c>
      <c r="I340" s="14" t="s">
        <v>36</v>
      </c>
      <c r="J340" s="14"/>
    </row>
    <row r="341" spans="1:10" x14ac:dyDescent="0.3">
      <c r="A341" s="13"/>
      <c r="B341" s="14" t="str">
        <f t="shared" si="5"/>
        <v/>
      </c>
      <c r="C341" s="14"/>
      <c r="D341" s="14"/>
      <c r="E341" s="14"/>
      <c r="F341" s="16"/>
      <c r="G341" s="14" t="s">
        <v>34</v>
      </c>
      <c r="H341" s="14" t="s">
        <v>35</v>
      </c>
      <c r="I341" s="14" t="s">
        <v>36</v>
      </c>
      <c r="J341" s="14"/>
    </row>
    <row r="342" spans="1:10" x14ac:dyDescent="0.3">
      <c r="A342" s="13"/>
      <c r="B342" s="14" t="str">
        <f t="shared" si="5"/>
        <v/>
      </c>
      <c r="C342" s="14"/>
      <c r="D342" s="14"/>
      <c r="E342" s="14"/>
      <c r="F342" s="16"/>
      <c r="G342" s="14" t="s">
        <v>34</v>
      </c>
      <c r="H342" s="14" t="s">
        <v>35</v>
      </c>
      <c r="I342" s="14" t="s">
        <v>36</v>
      </c>
      <c r="J342" s="14"/>
    </row>
    <row r="343" spans="1:10" x14ac:dyDescent="0.3">
      <c r="A343" s="13"/>
      <c r="B343" s="14" t="str">
        <f t="shared" si="5"/>
        <v/>
      </c>
      <c r="C343" s="14"/>
      <c r="D343" s="14"/>
      <c r="E343" s="14"/>
      <c r="F343" s="16"/>
      <c r="G343" s="14" t="s">
        <v>34</v>
      </c>
      <c r="H343" s="14" t="s">
        <v>35</v>
      </c>
      <c r="I343" s="14" t="s">
        <v>36</v>
      </c>
      <c r="J343" s="14"/>
    </row>
    <row r="344" spans="1:10" x14ac:dyDescent="0.3">
      <c r="A344" s="13"/>
      <c r="B344" s="14" t="str">
        <f t="shared" si="5"/>
        <v/>
      </c>
      <c r="C344" s="14"/>
      <c r="D344" s="14"/>
      <c r="E344" s="14"/>
      <c r="F344" s="16"/>
      <c r="G344" s="14" t="s">
        <v>34</v>
      </c>
      <c r="H344" s="14" t="s">
        <v>35</v>
      </c>
      <c r="I344" s="14" t="s">
        <v>36</v>
      </c>
      <c r="J344" s="14"/>
    </row>
    <row r="345" spans="1:10" x14ac:dyDescent="0.3">
      <c r="A345" s="13"/>
      <c r="B345" s="14" t="str">
        <f t="shared" si="5"/>
        <v/>
      </c>
      <c r="C345" s="14"/>
      <c r="D345" s="14"/>
      <c r="E345" s="14"/>
      <c r="F345" s="16"/>
      <c r="G345" s="14" t="s">
        <v>34</v>
      </c>
      <c r="H345" s="14" t="s">
        <v>35</v>
      </c>
      <c r="I345" s="14" t="s">
        <v>36</v>
      </c>
      <c r="J345" s="14"/>
    </row>
    <row r="346" spans="1:10" x14ac:dyDescent="0.3">
      <c r="A346" s="13"/>
      <c r="B346" s="14" t="str">
        <f t="shared" si="5"/>
        <v/>
      </c>
      <c r="C346" s="14"/>
      <c r="D346" s="14"/>
      <c r="E346" s="14"/>
      <c r="F346" s="16"/>
      <c r="G346" s="14" t="s">
        <v>34</v>
      </c>
      <c r="H346" s="14" t="s">
        <v>35</v>
      </c>
      <c r="I346" s="14" t="s">
        <v>36</v>
      </c>
      <c r="J346" s="14"/>
    </row>
    <row r="347" spans="1:10" x14ac:dyDescent="0.3">
      <c r="A347" s="13"/>
      <c r="B347" s="14" t="str">
        <f t="shared" si="5"/>
        <v/>
      </c>
      <c r="C347" s="14"/>
      <c r="D347" s="14"/>
      <c r="E347" s="14"/>
      <c r="F347" s="16"/>
      <c r="G347" s="14" t="s">
        <v>34</v>
      </c>
      <c r="H347" s="14" t="s">
        <v>35</v>
      </c>
      <c r="I347" s="14" t="s">
        <v>36</v>
      </c>
      <c r="J347" s="14"/>
    </row>
    <row r="348" spans="1:10" x14ac:dyDescent="0.3">
      <c r="A348" s="13"/>
      <c r="B348" s="14" t="str">
        <f t="shared" si="5"/>
        <v/>
      </c>
      <c r="C348" s="14"/>
      <c r="D348" s="14"/>
      <c r="E348" s="14"/>
      <c r="F348" s="16"/>
      <c r="G348" s="14" t="s">
        <v>34</v>
      </c>
      <c r="H348" s="14" t="s">
        <v>35</v>
      </c>
      <c r="I348" s="14" t="s">
        <v>36</v>
      </c>
      <c r="J348" s="14"/>
    </row>
    <row r="349" spans="1:10" x14ac:dyDescent="0.3">
      <c r="A349" s="13"/>
      <c r="B349" s="14" t="str">
        <f t="shared" si="5"/>
        <v/>
      </c>
      <c r="C349" s="14"/>
      <c r="D349" s="14"/>
      <c r="E349" s="14"/>
      <c r="F349" s="16"/>
      <c r="G349" s="14" t="s">
        <v>34</v>
      </c>
      <c r="H349" s="14" t="s">
        <v>35</v>
      </c>
      <c r="I349" s="14" t="s">
        <v>36</v>
      </c>
      <c r="J349" s="14"/>
    </row>
    <row r="350" spans="1:10" x14ac:dyDescent="0.3">
      <c r="A350" s="13"/>
      <c r="B350" s="14" t="str">
        <f t="shared" si="5"/>
        <v/>
      </c>
      <c r="C350" s="14"/>
      <c r="D350" s="14"/>
      <c r="E350" s="14"/>
      <c r="F350" s="16"/>
      <c r="G350" s="14" t="s">
        <v>34</v>
      </c>
      <c r="H350" s="14" t="s">
        <v>35</v>
      </c>
      <c r="I350" s="14" t="s">
        <v>36</v>
      </c>
      <c r="J350" s="14"/>
    </row>
    <row r="351" spans="1:10" x14ac:dyDescent="0.3">
      <c r="A351" s="13"/>
      <c r="B351" s="14" t="str">
        <f t="shared" si="5"/>
        <v/>
      </c>
      <c r="C351" s="14"/>
      <c r="D351" s="14"/>
      <c r="E351" s="14"/>
      <c r="F351" s="16"/>
      <c r="G351" s="14" t="s">
        <v>34</v>
      </c>
      <c r="H351" s="14" t="s">
        <v>35</v>
      </c>
      <c r="I351" s="14" t="s">
        <v>36</v>
      </c>
      <c r="J351" s="14"/>
    </row>
    <row r="352" spans="1:10" x14ac:dyDescent="0.3">
      <c r="A352" s="13"/>
      <c r="B352" s="14" t="str">
        <f t="shared" si="5"/>
        <v/>
      </c>
      <c r="C352" s="14"/>
      <c r="D352" s="14"/>
      <c r="E352" s="14"/>
      <c r="F352" s="16"/>
      <c r="G352" s="14" t="s">
        <v>34</v>
      </c>
      <c r="H352" s="14" t="s">
        <v>35</v>
      </c>
      <c r="I352" s="14" t="s">
        <v>36</v>
      </c>
      <c r="J352" s="14"/>
    </row>
    <row r="353" spans="1:10" x14ac:dyDescent="0.3">
      <c r="A353" s="13"/>
      <c r="B353" s="14" t="str">
        <f t="shared" si="5"/>
        <v/>
      </c>
      <c r="C353" s="14"/>
      <c r="D353" s="14"/>
      <c r="E353" s="14"/>
      <c r="F353" s="16"/>
      <c r="G353" s="14" t="s">
        <v>34</v>
      </c>
      <c r="H353" s="14" t="s">
        <v>35</v>
      </c>
      <c r="I353" s="14" t="s">
        <v>36</v>
      </c>
      <c r="J353" s="14"/>
    </row>
    <row r="354" spans="1:10" x14ac:dyDescent="0.3">
      <c r="A354" s="13"/>
      <c r="B354" s="14" t="str">
        <f t="shared" si="5"/>
        <v/>
      </c>
      <c r="C354" s="14"/>
      <c r="D354" s="14"/>
      <c r="E354" s="14"/>
      <c r="F354" s="16"/>
      <c r="G354" s="14" t="s">
        <v>34</v>
      </c>
      <c r="H354" s="14" t="s">
        <v>35</v>
      </c>
      <c r="I354" s="14" t="s">
        <v>36</v>
      </c>
      <c r="J354" s="14"/>
    </row>
    <row r="355" spans="1:10" x14ac:dyDescent="0.3">
      <c r="A355" s="13"/>
      <c r="B355" s="14" t="str">
        <f t="shared" si="5"/>
        <v/>
      </c>
      <c r="C355" s="14"/>
      <c r="D355" s="14"/>
      <c r="E355" s="14"/>
      <c r="F355" s="16"/>
      <c r="G355" s="14" t="s">
        <v>34</v>
      </c>
      <c r="H355" s="14" t="s">
        <v>35</v>
      </c>
      <c r="I355" s="14" t="s">
        <v>36</v>
      </c>
      <c r="J355" s="14"/>
    </row>
    <row r="356" spans="1:10" x14ac:dyDescent="0.3">
      <c r="A356" s="13"/>
      <c r="B356" s="14" t="str">
        <f t="shared" si="5"/>
        <v/>
      </c>
      <c r="C356" s="14"/>
      <c r="D356" s="14"/>
      <c r="E356" s="14"/>
      <c r="F356" s="16"/>
      <c r="G356" s="14" t="s">
        <v>34</v>
      </c>
      <c r="H356" s="14" t="s">
        <v>35</v>
      </c>
      <c r="I356" s="14" t="s">
        <v>36</v>
      </c>
      <c r="J356" s="14"/>
    </row>
    <row r="357" spans="1:10" x14ac:dyDescent="0.3">
      <c r="A357" s="13"/>
      <c r="B357" s="14" t="str">
        <f t="shared" si="5"/>
        <v/>
      </c>
      <c r="C357" s="14"/>
      <c r="D357" s="14"/>
      <c r="E357" s="14"/>
      <c r="F357" s="16"/>
      <c r="G357" s="14" t="s">
        <v>34</v>
      </c>
      <c r="H357" s="14" t="s">
        <v>35</v>
      </c>
      <c r="I357" s="14" t="s">
        <v>36</v>
      </c>
      <c r="J357" s="14"/>
    </row>
    <row r="358" spans="1:10" x14ac:dyDescent="0.3">
      <c r="A358" s="13"/>
      <c r="B358" s="14" t="str">
        <f t="shared" si="5"/>
        <v/>
      </c>
      <c r="C358" s="14"/>
      <c r="D358" s="14"/>
      <c r="E358" s="14"/>
      <c r="F358" s="16"/>
      <c r="G358" s="14" t="s">
        <v>34</v>
      </c>
      <c r="H358" s="14" t="s">
        <v>35</v>
      </c>
      <c r="I358" s="14" t="s">
        <v>36</v>
      </c>
      <c r="J358" s="14"/>
    </row>
    <row r="359" spans="1:10" x14ac:dyDescent="0.3">
      <c r="A359" s="13"/>
      <c r="B359" s="14" t="str">
        <f t="shared" si="5"/>
        <v/>
      </c>
      <c r="C359" s="14"/>
      <c r="D359" s="14"/>
      <c r="E359" s="14"/>
      <c r="F359" s="16"/>
      <c r="G359" s="14" t="s">
        <v>34</v>
      </c>
      <c r="H359" s="14" t="s">
        <v>35</v>
      </c>
      <c r="I359" s="14" t="s">
        <v>36</v>
      </c>
      <c r="J359" s="14"/>
    </row>
    <row r="360" spans="1:10" x14ac:dyDescent="0.3">
      <c r="A360" s="13"/>
      <c r="B360" s="14" t="str">
        <f t="shared" si="5"/>
        <v/>
      </c>
      <c r="C360" s="14"/>
      <c r="D360" s="14"/>
      <c r="E360" s="14"/>
      <c r="F360" s="16"/>
      <c r="G360" s="14" t="s">
        <v>34</v>
      </c>
      <c r="H360" s="14" t="s">
        <v>35</v>
      </c>
      <c r="I360" s="14" t="s">
        <v>36</v>
      </c>
      <c r="J360" s="14"/>
    </row>
    <row r="361" spans="1:10" x14ac:dyDescent="0.3">
      <c r="A361" s="13"/>
      <c r="B361" s="14" t="str">
        <f t="shared" si="5"/>
        <v/>
      </c>
      <c r="C361" s="14"/>
      <c r="D361" s="14"/>
      <c r="E361" s="14"/>
      <c r="F361" s="16"/>
      <c r="G361" s="14" t="s">
        <v>34</v>
      </c>
      <c r="H361" s="14" t="s">
        <v>35</v>
      </c>
      <c r="I361" s="14" t="s">
        <v>36</v>
      </c>
      <c r="J361" s="14"/>
    </row>
    <row r="362" spans="1:10" x14ac:dyDescent="0.3">
      <c r="A362" s="13"/>
      <c r="B362" s="14" t="str">
        <f t="shared" si="5"/>
        <v/>
      </c>
      <c r="C362" s="14"/>
      <c r="D362" s="14"/>
      <c r="E362" s="14"/>
      <c r="F362" s="16"/>
      <c r="G362" s="14" t="s">
        <v>34</v>
      </c>
      <c r="H362" s="14" t="s">
        <v>35</v>
      </c>
      <c r="I362" s="14" t="s">
        <v>36</v>
      </c>
      <c r="J362" s="14"/>
    </row>
    <row r="363" spans="1:10" x14ac:dyDescent="0.3">
      <c r="A363" s="13"/>
      <c r="B363" s="14" t="str">
        <f t="shared" si="5"/>
        <v/>
      </c>
      <c r="C363" s="14"/>
      <c r="D363" s="14"/>
      <c r="E363" s="14"/>
      <c r="F363" s="16"/>
      <c r="G363" s="14" t="s">
        <v>34</v>
      </c>
      <c r="H363" s="14" t="s">
        <v>35</v>
      </c>
      <c r="I363" s="14" t="s">
        <v>36</v>
      </c>
      <c r="J363" s="14"/>
    </row>
    <row r="364" spans="1:10" x14ac:dyDescent="0.3">
      <c r="A364" s="13"/>
      <c r="B364" s="14" t="str">
        <f t="shared" si="5"/>
        <v/>
      </c>
      <c r="C364" s="14"/>
      <c r="D364" s="14"/>
      <c r="E364" s="14"/>
      <c r="F364" s="16"/>
      <c r="G364" s="14" t="s">
        <v>34</v>
      </c>
      <c r="H364" s="14" t="s">
        <v>35</v>
      </c>
      <c r="I364" s="14" t="s">
        <v>36</v>
      </c>
      <c r="J364" s="14"/>
    </row>
    <row r="365" spans="1:10" x14ac:dyDescent="0.3">
      <c r="A365" s="13"/>
      <c r="B365" s="14" t="str">
        <f t="shared" si="5"/>
        <v/>
      </c>
      <c r="C365" s="14"/>
      <c r="D365" s="14"/>
      <c r="E365" s="14"/>
      <c r="F365" s="16"/>
      <c r="G365" s="14" t="s">
        <v>34</v>
      </c>
      <c r="H365" s="14" t="s">
        <v>35</v>
      </c>
      <c r="I365" s="14" t="s">
        <v>36</v>
      </c>
      <c r="J365" s="14"/>
    </row>
    <row r="366" spans="1:10" x14ac:dyDescent="0.3">
      <c r="A366" s="13"/>
      <c r="B366" s="14" t="str">
        <f t="shared" si="5"/>
        <v/>
      </c>
      <c r="C366" s="14"/>
      <c r="D366" s="14"/>
      <c r="E366" s="14"/>
      <c r="F366" s="16"/>
      <c r="G366" s="14" t="s">
        <v>34</v>
      </c>
      <c r="H366" s="14" t="s">
        <v>35</v>
      </c>
      <c r="I366" s="14" t="s">
        <v>36</v>
      </c>
      <c r="J366" s="14"/>
    </row>
    <row r="367" spans="1:10" x14ac:dyDescent="0.3">
      <c r="A367" s="13"/>
      <c r="B367" s="14" t="str">
        <f t="shared" si="5"/>
        <v/>
      </c>
      <c r="C367" s="14"/>
      <c r="D367" s="14"/>
      <c r="E367" s="14"/>
      <c r="F367" s="16"/>
      <c r="G367" s="14" t="s">
        <v>34</v>
      </c>
      <c r="H367" s="14" t="s">
        <v>35</v>
      </c>
      <c r="I367" s="14" t="s">
        <v>36</v>
      </c>
      <c r="J367" s="14"/>
    </row>
    <row r="368" spans="1:10" x14ac:dyDescent="0.3">
      <c r="A368" s="13"/>
      <c r="B368" s="14" t="str">
        <f t="shared" si="5"/>
        <v/>
      </c>
      <c r="C368" s="14"/>
      <c r="D368" s="14"/>
      <c r="E368" s="14"/>
      <c r="F368" s="16"/>
      <c r="G368" s="14" t="s">
        <v>34</v>
      </c>
      <c r="H368" s="14" t="s">
        <v>35</v>
      </c>
      <c r="I368" s="14" t="s">
        <v>36</v>
      </c>
      <c r="J368" s="14"/>
    </row>
    <row r="369" spans="1:10" x14ac:dyDescent="0.3">
      <c r="A369" s="13"/>
      <c r="B369" s="14" t="str">
        <f t="shared" si="5"/>
        <v/>
      </c>
      <c r="C369" s="14"/>
      <c r="D369" s="14"/>
      <c r="E369" s="14"/>
      <c r="F369" s="16"/>
      <c r="G369" s="14" t="s">
        <v>34</v>
      </c>
      <c r="H369" s="14" t="s">
        <v>35</v>
      </c>
      <c r="I369" s="14" t="s">
        <v>36</v>
      </c>
      <c r="J369" s="14"/>
    </row>
    <row r="370" spans="1:10" x14ac:dyDescent="0.3">
      <c r="A370" s="13"/>
      <c r="B370" s="14" t="str">
        <f t="shared" si="5"/>
        <v/>
      </c>
      <c r="C370" s="14"/>
      <c r="D370" s="14"/>
      <c r="E370" s="14"/>
      <c r="F370" s="16"/>
      <c r="G370" s="14" t="s">
        <v>34</v>
      </c>
      <c r="H370" s="14" t="s">
        <v>35</v>
      </c>
      <c r="I370" s="14" t="s">
        <v>36</v>
      </c>
      <c r="J370" s="14"/>
    </row>
    <row r="371" spans="1:10" x14ac:dyDescent="0.3">
      <c r="A371" s="13"/>
      <c r="B371" s="14" t="str">
        <f t="shared" si="5"/>
        <v/>
      </c>
      <c r="C371" s="14"/>
      <c r="D371" s="14"/>
      <c r="E371" s="14"/>
      <c r="F371" s="16"/>
      <c r="G371" s="14" t="s">
        <v>34</v>
      </c>
      <c r="H371" s="14" t="s">
        <v>35</v>
      </c>
      <c r="I371" s="14" t="s">
        <v>36</v>
      </c>
      <c r="J371" s="14"/>
    </row>
    <row r="372" spans="1:10" x14ac:dyDescent="0.3">
      <c r="A372" s="13"/>
      <c r="B372" s="14" t="str">
        <f t="shared" si="5"/>
        <v/>
      </c>
      <c r="C372" s="14"/>
      <c r="D372" s="14"/>
      <c r="E372" s="14"/>
      <c r="F372" s="16"/>
      <c r="G372" s="14" t="s">
        <v>34</v>
      </c>
      <c r="H372" s="14" t="s">
        <v>35</v>
      </c>
      <c r="I372" s="14" t="s">
        <v>36</v>
      </c>
      <c r="J372" s="14"/>
    </row>
    <row r="373" spans="1:10" x14ac:dyDescent="0.3">
      <c r="A373" s="13"/>
      <c r="B373" s="14" t="str">
        <f t="shared" si="5"/>
        <v/>
      </c>
      <c r="C373" s="14"/>
      <c r="D373" s="14"/>
      <c r="E373" s="14"/>
      <c r="F373" s="16"/>
      <c r="G373" s="14" t="s">
        <v>34</v>
      </c>
      <c r="H373" s="14" t="s">
        <v>35</v>
      </c>
      <c r="I373" s="14" t="s">
        <v>36</v>
      </c>
      <c r="J373" s="14"/>
    </row>
    <row r="374" spans="1:10" x14ac:dyDescent="0.3">
      <c r="A374" s="13"/>
      <c r="B374" s="14" t="str">
        <f t="shared" si="5"/>
        <v/>
      </c>
      <c r="C374" s="14"/>
      <c r="D374" s="14"/>
      <c r="E374" s="14"/>
      <c r="F374" s="16"/>
      <c r="G374" s="14" t="s">
        <v>34</v>
      </c>
      <c r="H374" s="14" t="s">
        <v>35</v>
      </c>
      <c r="I374" s="14" t="s">
        <v>36</v>
      </c>
      <c r="J374" s="14"/>
    </row>
    <row r="375" spans="1:10" x14ac:dyDescent="0.3">
      <c r="A375" s="13"/>
      <c r="B375" s="14" t="str">
        <f t="shared" si="5"/>
        <v/>
      </c>
      <c r="C375" s="14"/>
      <c r="D375" s="14"/>
      <c r="E375" s="14"/>
      <c r="F375" s="16"/>
      <c r="G375" s="14" t="s">
        <v>34</v>
      </c>
      <c r="H375" s="14" t="s">
        <v>35</v>
      </c>
      <c r="I375" s="14" t="s">
        <v>36</v>
      </c>
      <c r="J375" s="14"/>
    </row>
    <row r="376" spans="1:10" x14ac:dyDescent="0.3">
      <c r="A376" s="13"/>
      <c r="B376" s="14" t="str">
        <f t="shared" si="5"/>
        <v/>
      </c>
      <c r="C376" s="14"/>
      <c r="D376" s="14"/>
      <c r="E376" s="14"/>
      <c r="F376" s="16"/>
      <c r="G376" s="14" t="s">
        <v>34</v>
      </c>
      <c r="H376" s="14" t="s">
        <v>35</v>
      </c>
      <c r="I376" s="14" t="s">
        <v>36</v>
      </c>
      <c r="J376" s="14"/>
    </row>
    <row r="377" spans="1:10" x14ac:dyDescent="0.3">
      <c r="A377" s="13"/>
      <c r="B377" s="14" t="str">
        <f t="shared" si="5"/>
        <v/>
      </c>
      <c r="C377" s="14"/>
      <c r="D377" s="14"/>
      <c r="E377" s="14"/>
      <c r="F377" s="16"/>
      <c r="G377" s="14" t="s">
        <v>34</v>
      </c>
      <c r="H377" s="14" t="s">
        <v>35</v>
      </c>
      <c r="I377" s="14" t="s">
        <v>36</v>
      </c>
      <c r="J377" s="14"/>
    </row>
    <row r="378" spans="1:10" x14ac:dyDescent="0.3">
      <c r="A378" s="13"/>
      <c r="B378" s="14" t="str">
        <f t="shared" si="5"/>
        <v/>
      </c>
      <c r="C378" s="14"/>
      <c r="D378" s="14"/>
      <c r="E378" s="14"/>
      <c r="F378" s="16"/>
      <c r="G378" s="14" t="s">
        <v>34</v>
      </c>
      <c r="H378" s="14" t="s">
        <v>35</v>
      </c>
      <c r="I378" s="14" t="s">
        <v>36</v>
      </c>
      <c r="J378" s="14"/>
    </row>
    <row r="379" spans="1:10" x14ac:dyDescent="0.3">
      <c r="A379" s="13"/>
      <c r="B379" s="14" t="str">
        <f t="shared" si="5"/>
        <v/>
      </c>
      <c r="C379" s="14"/>
      <c r="D379" s="14"/>
      <c r="E379" s="14"/>
      <c r="F379" s="16"/>
      <c r="G379" s="14" t="s">
        <v>34</v>
      </c>
      <c r="H379" s="14" t="s">
        <v>35</v>
      </c>
      <c r="I379" s="14" t="s">
        <v>36</v>
      </c>
      <c r="J379" s="14"/>
    </row>
    <row r="380" spans="1:10" x14ac:dyDescent="0.3">
      <c r="A380" s="13"/>
      <c r="B380" s="14" t="str">
        <f t="shared" si="5"/>
        <v/>
      </c>
      <c r="C380" s="14"/>
      <c r="D380" s="14"/>
      <c r="E380" s="14"/>
      <c r="F380" s="16"/>
      <c r="G380" s="14" t="s">
        <v>34</v>
      </c>
      <c r="H380" s="14" t="s">
        <v>35</v>
      </c>
      <c r="I380" s="14" t="s">
        <v>36</v>
      </c>
      <c r="J380" s="14"/>
    </row>
    <row r="381" spans="1:10" x14ac:dyDescent="0.3">
      <c r="A381" s="13"/>
      <c r="B381" s="14" t="str">
        <f t="shared" si="5"/>
        <v/>
      </c>
      <c r="C381" s="14"/>
      <c r="D381" s="14"/>
      <c r="E381" s="14"/>
      <c r="F381" s="16"/>
      <c r="G381" s="14" t="s">
        <v>34</v>
      </c>
      <c r="H381" s="14" t="s">
        <v>35</v>
      </c>
      <c r="I381" s="14" t="s">
        <v>36</v>
      </c>
      <c r="J381" s="14"/>
    </row>
    <row r="382" spans="1:10" x14ac:dyDescent="0.3">
      <c r="A382" s="13"/>
      <c r="B382" s="14" t="str">
        <f t="shared" si="5"/>
        <v/>
      </c>
      <c r="C382" s="14"/>
      <c r="D382" s="14"/>
      <c r="E382" s="14"/>
      <c r="F382" s="16"/>
      <c r="G382" s="14" t="s">
        <v>34</v>
      </c>
      <c r="H382" s="14" t="s">
        <v>35</v>
      </c>
      <c r="I382" s="14" t="s">
        <v>36</v>
      </c>
      <c r="J382" s="14"/>
    </row>
    <row r="383" spans="1:10" x14ac:dyDescent="0.3">
      <c r="A383" s="13"/>
      <c r="B383" s="14" t="str">
        <f t="shared" si="5"/>
        <v/>
      </c>
      <c r="C383" s="14"/>
      <c r="D383" s="14"/>
      <c r="E383" s="14"/>
      <c r="F383" s="16"/>
      <c r="G383" s="14" t="s">
        <v>34</v>
      </c>
      <c r="H383" s="14" t="s">
        <v>35</v>
      </c>
      <c r="I383" s="14" t="s">
        <v>36</v>
      </c>
      <c r="J383" s="14"/>
    </row>
    <row r="384" spans="1:10" x14ac:dyDescent="0.3">
      <c r="A384" s="13"/>
      <c r="B384" s="14" t="str">
        <f t="shared" si="5"/>
        <v/>
      </c>
      <c r="C384" s="14"/>
      <c r="D384" s="14"/>
      <c r="E384" s="14"/>
      <c r="F384" s="16"/>
      <c r="G384" s="14" t="s">
        <v>34</v>
      </c>
      <c r="H384" s="14" t="s">
        <v>35</v>
      </c>
      <c r="I384" s="14" t="s">
        <v>36</v>
      </c>
      <c r="J384" s="14"/>
    </row>
    <row r="385" spans="1:10" x14ac:dyDescent="0.3">
      <c r="A385" s="13"/>
      <c r="B385" s="14" t="str">
        <f t="shared" si="5"/>
        <v/>
      </c>
      <c r="C385" s="14"/>
      <c r="D385" s="14"/>
      <c r="E385" s="14"/>
      <c r="F385" s="16"/>
      <c r="G385" s="14" t="s">
        <v>34</v>
      </c>
      <c r="H385" s="14" t="s">
        <v>35</v>
      </c>
      <c r="I385" s="14" t="s">
        <v>36</v>
      </c>
      <c r="J385" s="14"/>
    </row>
    <row r="386" spans="1:10" x14ac:dyDescent="0.3">
      <c r="A386" s="13"/>
      <c r="B386" s="14" t="str">
        <f t="shared" ref="B386:B401" si="6">IF(A386="","", "I"&amp;TEXT(A386,"yymmdd")&amp;"-"&amp;TEXT(ROW()-1,"0000"))</f>
        <v/>
      </c>
      <c r="C386" s="14"/>
      <c r="D386" s="14"/>
      <c r="E386" s="14"/>
      <c r="F386" s="16"/>
      <c r="G386" s="14" t="s">
        <v>34</v>
      </c>
      <c r="H386" s="14" t="s">
        <v>35</v>
      </c>
      <c r="I386" s="14" t="s">
        <v>36</v>
      </c>
      <c r="J386" s="14"/>
    </row>
    <row r="387" spans="1:10" x14ac:dyDescent="0.3">
      <c r="A387" s="13"/>
      <c r="B387" s="14" t="str">
        <f t="shared" si="6"/>
        <v/>
      </c>
      <c r="C387" s="14"/>
      <c r="D387" s="14"/>
      <c r="E387" s="14"/>
      <c r="F387" s="16"/>
      <c r="G387" s="14" t="s">
        <v>34</v>
      </c>
      <c r="H387" s="14" t="s">
        <v>35</v>
      </c>
      <c r="I387" s="14" t="s">
        <v>36</v>
      </c>
      <c r="J387" s="14"/>
    </row>
    <row r="388" spans="1:10" x14ac:dyDescent="0.3">
      <c r="A388" s="13"/>
      <c r="B388" s="14" t="str">
        <f t="shared" si="6"/>
        <v/>
      </c>
      <c r="C388" s="14"/>
      <c r="D388" s="14"/>
      <c r="E388" s="14"/>
      <c r="F388" s="16"/>
      <c r="G388" s="14" t="s">
        <v>34</v>
      </c>
      <c r="H388" s="14" t="s">
        <v>35</v>
      </c>
      <c r="I388" s="14" t="s">
        <v>36</v>
      </c>
      <c r="J388" s="14"/>
    </row>
    <row r="389" spans="1:10" x14ac:dyDescent="0.3">
      <c r="A389" s="13"/>
      <c r="B389" s="14" t="str">
        <f t="shared" si="6"/>
        <v/>
      </c>
      <c r="C389" s="14"/>
      <c r="D389" s="14"/>
      <c r="E389" s="14"/>
      <c r="F389" s="16"/>
      <c r="G389" s="14" t="s">
        <v>34</v>
      </c>
      <c r="H389" s="14" t="s">
        <v>35</v>
      </c>
      <c r="I389" s="14" t="s">
        <v>36</v>
      </c>
      <c r="J389" s="14"/>
    </row>
    <row r="390" spans="1:10" x14ac:dyDescent="0.3">
      <c r="A390" s="13"/>
      <c r="B390" s="14" t="str">
        <f t="shared" si="6"/>
        <v/>
      </c>
      <c r="C390" s="14"/>
      <c r="D390" s="14"/>
      <c r="E390" s="14"/>
      <c r="F390" s="16"/>
      <c r="G390" s="14" t="s">
        <v>34</v>
      </c>
      <c r="H390" s="14" t="s">
        <v>35</v>
      </c>
      <c r="I390" s="14" t="s">
        <v>36</v>
      </c>
      <c r="J390" s="14"/>
    </row>
    <row r="391" spans="1:10" x14ac:dyDescent="0.3">
      <c r="A391" s="13"/>
      <c r="B391" s="14" t="str">
        <f t="shared" si="6"/>
        <v/>
      </c>
      <c r="C391" s="14"/>
      <c r="D391" s="14"/>
      <c r="E391" s="14"/>
      <c r="F391" s="16"/>
      <c r="G391" s="14" t="s">
        <v>34</v>
      </c>
      <c r="H391" s="14" t="s">
        <v>35</v>
      </c>
      <c r="I391" s="14" t="s">
        <v>36</v>
      </c>
      <c r="J391" s="14"/>
    </row>
    <row r="392" spans="1:10" x14ac:dyDescent="0.3">
      <c r="A392" s="13"/>
      <c r="B392" s="14" t="str">
        <f t="shared" si="6"/>
        <v/>
      </c>
      <c r="C392" s="14"/>
      <c r="D392" s="14"/>
      <c r="E392" s="14"/>
      <c r="F392" s="16"/>
      <c r="G392" s="14" t="s">
        <v>34</v>
      </c>
      <c r="H392" s="14" t="s">
        <v>35</v>
      </c>
      <c r="I392" s="14" t="s">
        <v>36</v>
      </c>
      <c r="J392" s="14"/>
    </row>
    <row r="393" spans="1:10" x14ac:dyDescent="0.3">
      <c r="A393" s="13"/>
      <c r="B393" s="14" t="str">
        <f t="shared" si="6"/>
        <v/>
      </c>
      <c r="C393" s="14"/>
      <c r="D393" s="14"/>
      <c r="E393" s="14"/>
      <c r="F393" s="16"/>
      <c r="G393" s="14" t="s">
        <v>34</v>
      </c>
      <c r="H393" s="14" t="s">
        <v>35</v>
      </c>
      <c r="I393" s="14" t="s">
        <v>36</v>
      </c>
      <c r="J393" s="14"/>
    </row>
    <row r="394" spans="1:10" x14ac:dyDescent="0.3">
      <c r="A394" s="13"/>
      <c r="B394" s="14" t="str">
        <f t="shared" si="6"/>
        <v/>
      </c>
      <c r="C394" s="14"/>
      <c r="D394" s="14"/>
      <c r="E394" s="14"/>
      <c r="F394" s="16"/>
      <c r="G394" s="14" t="s">
        <v>34</v>
      </c>
      <c r="H394" s="14" t="s">
        <v>35</v>
      </c>
      <c r="I394" s="14" t="s">
        <v>36</v>
      </c>
      <c r="J394" s="14"/>
    </row>
    <row r="395" spans="1:10" x14ac:dyDescent="0.3">
      <c r="A395" s="13"/>
      <c r="B395" s="14" t="str">
        <f t="shared" si="6"/>
        <v/>
      </c>
      <c r="C395" s="14"/>
      <c r="D395" s="14"/>
      <c r="E395" s="14"/>
      <c r="F395" s="16"/>
      <c r="G395" s="14" t="s">
        <v>34</v>
      </c>
      <c r="H395" s="14" t="s">
        <v>35</v>
      </c>
      <c r="I395" s="14" t="s">
        <v>36</v>
      </c>
      <c r="J395" s="14"/>
    </row>
    <row r="396" spans="1:10" x14ac:dyDescent="0.3">
      <c r="A396" s="13"/>
      <c r="B396" s="14" t="str">
        <f t="shared" si="6"/>
        <v/>
      </c>
      <c r="C396" s="14"/>
      <c r="D396" s="14"/>
      <c r="E396" s="14"/>
      <c r="F396" s="16"/>
      <c r="G396" s="14" t="s">
        <v>34</v>
      </c>
      <c r="H396" s="14" t="s">
        <v>35</v>
      </c>
      <c r="I396" s="14" t="s">
        <v>36</v>
      </c>
      <c r="J396" s="14"/>
    </row>
    <row r="397" spans="1:10" x14ac:dyDescent="0.3">
      <c r="A397" s="13"/>
      <c r="B397" s="14" t="str">
        <f t="shared" si="6"/>
        <v/>
      </c>
      <c r="C397" s="14"/>
      <c r="D397" s="14"/>
      <c r="E397" s="14"/>
      <c r="F397" s="16"/>
      <c r="G397" s="14" t="s">
        <v>34</v>
      </c>
      <c r="H397" s="14" t="s">
        <v>35</v>
      </c>
      <c r="I397" s="14" t="s">
        <v>36</v>
      </c>
      <c r="J397" s="14"/>
    </row>
    <row r="398" spans="1:10" x14ac:dyDescent="0.3">
      <c r="A398" s="13"/>
      <c r="B398" s="14" t="str">
        <f t="shared" si="6"/>
        <v/>
      </c>
      <c r="C398" s="14"/>
      <c r="D398" s="14"/>
      <c r="E398" s="14"/>
      <c r="F398" s="16"/>
      <c r="G398" s="14" t="s">
        <v>34</v>
      </c>
      <c r="H398" s="14" t="s">
        <v>35</v>
      </c>
      <c r="I398" s="14" t="s">
        <v>36</v>
      </c>
      <c r="J398" s="14"/>
    </row>
    <row r="399" spans="1:10" x14ac:dyDescent="0.3">
      <c r="A399" s="13"/>
      <c r="B399" s="14" t="str">
        <f t="shared" si="6"/>
        <v/>
      </c>
      <c r="C399" s="14"/>
      <c r="D399" s="14"/>
      <c r="E399" s="14"/>
      <c r="F399" s="16"/>
      <c r="G399" s="14" t="s">
        <v>34</v>
      </c>
      <c r="H399" s="14" t="s">
        <v>35</v>
      </c>
      <c r="I399" s="14" t="s">
        <v>36</v>
      </c>
      <c r="J399" s="14"/>
    </row>
    <row r="400" spans="1:10" x14ac:dyDescent="0.3">
      <c r="A400" s="13"/>
      <c r="B400" s="14" t="str">
        <f t="shared" si="6"/>
        <v/>
      </c>
      <c r="C400" s="14"/>
      <c r="D400" s="14"/>
      <c r="E400" s="14"/>
      <c r="F400" s="16"/>
      <c r="G400" s="14" t="s">
        <v>34</v>
      </c>
      <c r="H400" s="14" t="s">
        <v>35</v>
      </c>
      <c r="I400" s="14" t="s">
        <v>36</v>
      </c>
      <c r="J400" s="14"/>
    </row>
    <row r="401" spans="1:10" x14ac:dyDescent="0.3">
      <c r="A401" s="13"/>
      <c r="B401" s="14" t="str">
        <f t="shared" si="6"/>
        <v/>
      </c>
      <c r="C401" s="14"/>
      <c r="D401" s="14"/>
      <c r="E401" s="14"/>
      <c r="F401" s="16"/>
      <c r="G401" s="14" t="s">
        <v>34</v>
      </c>
      <c r="H401" s="14" t="s">
        <v>35</v>
      </c>
      <c r="I401" s="14" t="s">
        <v>36</v>
      </c>
      <c r="J401" s="14"/>
    </row>
  </sheetData>
  <dataValidations count="4">
    <dataValidation type="list" allowBlank="1" sqref="D2:D401" xr:uid="{00000000-0002-0000-0500-000000000000}">
      <formula1>lstCategoriasIngreso</formula1>
    </dataValidation>
    <dataValidation type="list" allowBlank="1" sqref="G2:G401" xr:uid="{00000000-0002-0000-0500-000001000000}">
      <formula1>lstMetodosPago</formula1>
    </dataValidation>
    <dataValidation type="list" allowBlank="1" sqref="H2:H401" xr:uid="{00000000-0002-0000-0500-000002000000}">
      <formula1>lstCuentas</formula1>
    </dataValidation>
    <dataValidation type="list" allowBlank="1" sqref="I2:I401" xr:uid="{00000000-0002-0000-0500-000003000000}">
      <formula1>lstEstado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0"/>
  <sheetViews>
    <sheetView showGridLines="0" workbookViewId="0">
      <pane ySplit="1" topLeftCell="A33" activePane="bottomLeft" state="frozen"/>
      <selection pane="bottomLeft" activeCell="I48" sqref="I48"/>
    </sheetView>
  </sheetViews>
  <sheetFormatPr baseColWidth="10" defaultRowHeight="14.4" x14ac:dyDescent="0.3"/>
  <cols>
    <col min="1" max="1" width="28" bestFit="1" customWidth="1"/>
    <col min="2" max="3" width="12" customWidth="1"/>
    <col min="4" max="4" width="14" bestFit="1" customWidth="1"/>
    <col min="5" max="5" width="12" customWidth="1"/>
    <col min="6" max="6" width="18" bestFit="1" customWidth="1"/>
    <col min="7" max="7" width="14" customWidth="1"/>
    <col min="8" max="8" width="12" customWidth="1"/>
    <col min="9" max="9" width="18.33203125" bestFit="1" customWidth="1"/>
    <col min="10" max="10" width="16" customWidth="1"/>
    <col min="11" max="11" width="10" customWidth="1"/>
  </cols>
  <sheetData>
    <row r="1" spans="1:11" ht="15" customHeight="1" thickBot="1" x14ac:dyDescent="0.35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18</v>
      </c>
      <c r="G1" s="12" t="s">
        <v>56</v>
      </c>
      <c r="H1" s="12" t="s">
        <v>57</v>
      </c>
      <c r="I1" s="12" t="s">
        <v>58</v>
      </c>
      <c r="J1" s="12" t="s">
        <v>59</v>
      </c>
      <c r="K1" s="12" t="s">
        <v>60</v>
      </c>
    </row>
    <row r="2" spans="1:11" ht="15" customHeight="1" thickBot="1" x14ac:dyDescent="0.35">
      <c r="A2" s="17" t="s">
        <v>61</v>
      </c>
      <c r="B2" s="18">
        <v>90</v>
      </c>
      <c r="C2" s="19">
        <v>748.52766666666605</v>
      </c>
      <c r="D2" s="20">
        <v>46.296296296296298</v>
      </c>
      <c r="E2" s="16">
        <f t="shared" ref="E2:E14" si="0">C2+D2</f>
        <v>794.82396296296236</v>
      </c>
      <c r="F2" s="14" t="s">
        <v>62</v>
      </c>
      <c r="G2" s="16"/>
      <c r="H2" s="15">
        <v>0</v>
      </c>
      <c r="I2" s="15">
        <f>IF(A2="","",B2+IFERROR(SUMIFS(tblCompras[CANTIDAD],tblCompras[PRODUCTO],A2),0)-IFERROR(SUMIFS(#REF!,#REF!,A2),0))</f>
        <v>90</v>
      </c>
      <c r="J2" s="16">
        <f t="shared" ref="J2:J33" si="1">IF(I2="","",I2*E2)</f>
        <v>71534.156666666619</v>
      </c>
      <c r="K2" s="21" t="str">
        <f t="shared" ref="K2:K33" si="2">IF(G2="","",IFERROR((G2-E2)/G2,0))</f>
        <v/>
      </c>
    </row>
    <row r="3" spans="1:11" ht="15" customHeight="1" thickBot="1" x14ac:dyDescent="0.35">
      <c r="A3" s="17" t="s">
        <v>63</v>
      </c>
      <c r="B3" s="22">
        <v>10</v>
      </c>
      <c r="C3" s="20">
        <v>998.44433333333302</v>
      </c>
      <c r="D3" s="20">
        <v>46.296296296296298</v>
      </c>
      <c r="E3" s="16">
        <f t="shared" si="0"/>
        <v>1044.7406296296292</v>
      </c>
      <c r="F3" s="14" t="s">
        <v>62</v>
      </c>
      <c r="G3" s="16"/>
      <c r="H3" s="15">
        <v>0</v>
      </c>
      <c r="I3" s="15">
        <f>IF(A3="","",B3+IFERROR(SUMIFS(tblCompras[CANTIDAD],tblCompras[PRODUCTO],A3),0)-IFERROR(SUMIFS(#REF!,#REF!,A3),0))</f>
        <v>10</v>
      </c>
      <c r="J3" s="16">
        <f t="shared" si="1"/>
        <v>10447.406296296293</v>
      </c>
      <c r="K3" s="21" t="str">
        <f t="shared" si="2"/>
        <v/>
      </c>
    </row>
    <row r="4" spans="1:11" ht="15" customHeight="1" thickBot="1" x14ac:dyDescent="0.35">
      <c r="A4" s="17" t="s">
        <v>64</v>
      </c>
      <c r="B4" s="22">
        <v>9</v>
      </c>
      <c r="C4" s="20">
        <v>998.44433333333302</v>
      </c>
      <c r="D4" s="20">
        <v>46.296296296296298</v>
      </c>
      <c r="E4" s="16">
        <f t="shared" si="0"/>
        <v>1044.7406296296292</v>
      </c>
      <c r="F4" s="14" t="s">
        <v>62</v>
      </c>
      <c r="G4" s="16"/>
      <c r="H4" s="15">
        <v>0</v>
      </c>
      <c r="I4" s="15">
        <f>IF(A4="","",B4+IFERROR(SUMIFS(tblCompras[CANTIDAD],tblCompras[PRODUCTO],A4),0)-IFERROR(SUMIFS(#REF!,#REF!,A4),0))</f>
        <v>9</v>
      </c>
      <c r="J4" s="16">
        <f t="shared" si="1"/>
        <v>9402.6656666666622</v>
      </c>
      <c r="K4" s="21" t="str">
        <f t="shared" si="2"/>
        <v/>
      </c>
    </row>
    <row r="5" spans="1:11" ht="15" customHeight="1" thickBot="1" x14ac:dyDescent="0.35">
      <c r="A5" s="17" t="s">
        <v>65</v>
      </c>
      <c r="B5" s="22">
        <v>8</v>
      </c>
      <c r="C5" s="20">
        <v>998.44433333333302</v>
      </c>
      <c r="D5" s="20">
        <v>46.296296296296298</v>
      </c>
      <c r="E5" s="16">
        <f t="shared" si="0"/>
        <v>1044.7406296296292</v>
      </c>
      <c r="F5" s="14" t="s">
        <v>62</v>
      </c>
      <c r="G5" s="16"/>
      <c r="H5" s="15">
        <v>0</v>
      </c>
      <c r="I5" s="15">
        <f>IF(A5="","",B5+IFERROR(SUMIFS(tblCompras[CANTIDAD],tblCompras[PRODUCTO],A5),0)-IFERROR(SUMIFS(#REF!,#REF!,A5),0))</f>
        <v>8</v>
      </c>
      <c r="J5" s="16">
        <f t="shared" si="1"/>
        <v>8357.9250370370337</v>
      </c>
      <c r="K5" s="21" t="str">
        <f t="shared" si="2"/>
        <v/>
      </c>
    </row>
    <row r="6" spans="1:11" ht="15" customHeight="1" thickBot="1" x14ac:dyDescent="0.35">
      <c r="A6" s="17" t="s">
        <v>66</v>
      </c>
      <c r="B6" s="22">
        <v>9</v>
      </c>
      <c r="C6" s="20">
        <v>998.44433333333302</v>
      </c>
      <c r="D6" s="20">
        <v>46.296296296296298</v>
      </c>
      <c r="E6" s="16">
        <f t="shared" si="0"/>
        <v>1044.7406296296292</v>
      </c>
      <c r="F6" s="14" t="s">
        <v>62</v>
      </c>
      <c r="G6" s="16"/>
      <c r="H6" s="15">
        <v>0</v>
      </c>
      <c r="I6" s="15">
        <f>IF(A6="","",B6+IFERROR(SUMIFS(tblCompras[CANTIDAD],tblCompras[PRODUCTO],A6),0)-IFERROR(SUMIFS(#REF!,#REF!,A6),0))</f>
        <v>9</v>
      </c>
      <c r="J6" s="16">
        <f t="shared" si="1"/>
        <v>9402.6656666666622</v>
      </c>
      <c r="K6" s="21" t="str">
        <f t="shared" si="2"/>
        <v/>
      </c>
    </row>
    <row r="7" spans="1:11" ht="15" customHeight="1" thickBot="1" x14ac:dyDescent="0.35">
      <c r="A7" s="17" t="s">
        <v>67</v>
      </c>
      <c r="B7" s="22">
        <v>21</v>
      </c>
      <c r="C7" s="20">
        <v>998.44433333333302</v>
      </c>
      <c r="D7" s="20">
        <v>46.296296296296298</v>
      </c>
      <c r="E7" s="16">
        <f t="shared" si="0"/>
        <v>1044.7406296296292</v>
      </c>
      <c r="F7" s="14" t="s">
        <v>62</v>
      </c>
      <c r="G7" s="16"/>
      <c r="H7" s="15">
        <v>0</v>
      </c>
      <c r="I7" s="15">
        <f>IF(A7="","",B7+IFERROR(SUMIFS(tblCompras[CANTIDAD],tblCompras[PRODUCTO],A7),0)-IFERROR(SUMIFS(#REF!,#REF!,A7),0))</f>
        <v>21</v>
      </c>
      <c r="J7" s="16">
        <f t="shared" si="1"/>
        <v>21939.553222222214</v>
      </c>
      <c r="K7" s="21" t="str">
        <f t="shared" si="2"/>
        <v/>
      </c>
    </row>
    <row r="8" spans="1:11" ht="15" customHeight="1" thickBot="1" x14ac:dyDescent="0.35">
      <c r="A8" s="17" t="s">
        <v>68</v>
      </c>
      <c r="B8" s="18">
        <v>5</v>
      </c>
      <c r="C8" s="20">
        <v>998.44433333333302</v>
      </c>
      <c r="D8" s="20">
        <v>46.296296296296298</v>
      </c>
      <c r="E8" s="16">
        <f t="shared" si="0"/>
        <v>1044.7406296296292</v>
      </c>
      <c r="F8" s="14" t="s">
        <v>62</v>
      </c>
      <c r="G8" s="16"/>
      <c r="H8" s="15">
        <v>0</v>
      </c>
      <c r="I8" s="15">
        <f>IF(A8="","",B8+IFERROR(SUMIFS(tblCompras[CANTIDAD],tblCompras[PRODUCTO],A8),0)-IFERROR(SUMIFS(#REF!,#REF!,A8),0))</f>
        <v>5</v>
      </c>
      <c r="J8" s="16">
        <f t="shared" si="1"/>
        <v>5223.7031481481463</v>
      </c>
      <c r="K8" s="21" t="str">
        <f t="shared" si="2"/>
        <v/>
      </c>
    </row>
    <row r="9" spans="1:11" ht="15" customHeight="1" thickBot="1" x14ac:dyDescent="0.35">
      <c r="A9" s="17" t="s">
        <v>69</v>
      </c>
      <c r="B9" s="22">
        <v>10</v>
      </c>
      <c r="C9" s="20">
        <v>998.44433333333302</v>
      </c>
      <c r="D9" s="20">
        <v>46.296296296296298</v>
      </c>
      <c r="E9" s="16">
        <f t="shared" si="0"/>
        <v>1044.7406296296292</v>
      </c>
      <c r="F9" s="14" t="s">
        <v>62</v>
      </c>
      <c r="G9" s="16"/>
      <c r="H9" s="15">
        <v>0</v>
      </c>
      <c r="I9" s="15">
        <f>IF(A9="","",B9+IFERROR(SUMIFS(tblCompras[CANTIDAD],tblCompras[PRODUCTO],A9),0)-IFERROR(SUMIFS(#REF!,#REF!,A9),0))</f>
        <v>10</v>
      </c>
      <c r="J9" s="16">
        <f t="shared" si="1"/>
        <v>10447.406296296293</v>
      </c>
      <c r="K9" s="21" t="str">
        <f t="shared" si="2"/>
        <v/>
      </c>
    </row>
    <row r="10" spans="1:11" ht="15" customHeight="1" thickBot="1" x14ac:dyDescent="0.35">
      <c r="A10" s="17" t="s">
        <v>70</v>
      </c>
      <c r="B10" s="18">
        <v>2</v>
      </c>
      <c r="C10" s="20">
        <v>998.44433333333302</v>
      </c>
      <c r="D10" s="20">
        <v>46.296296296296298</v>
      </c>
      <c r="E10" s="16">
        <f t="shared" si="0"/>
        <v>1044.7406296296292</v>
      </c>
      <c r="F10" s="14" t="s">
        <v>62</v>
      </c>
      <c r="G10" s="16"/>
      <c r="H10" s="15">
        <v>0</v>
      </c>
      <c r="I10" s="15">
        <f>IF(A10="","",B10+IFERROR(SUMIFS(tblCompras[CANTIDAD],tblCompras[PRODUCTO],A10),0)-IFERROR(SUMIFS(#REF!,#REF!,A10),0))</f>
        <v>2</v>
      </c>
      <c r="J10" s="16">
        <f t="shared" si="1"/>
        <v>2089.4812592592584</v>
      </c>
      <c r="K10" s="21" t="str">
        <f t="shared" si="2"/>
        <v/>
      </c>
    </row>
    <row r="11" spans="1:11" ht="15" customHeight="1" thickBot="1" x14ac:dyDescent="0.35">
      <c r="A11" s="17" t="s">
        <v>71</v>
      </c>
      <c r="B11" s="18">
        <v>6</v>
      </c>
      <c r="C11" s="20">
        <v>998.44433333333302</v>
      </c>
      <c r="D11" s="20">
        <v>46.296296296296298</v>
      </c>
      <c r="E11" s="16">
        <f t="shared" si="0"/>
        <v>1044.7406296296292</v>
      </c>
      <c r="F11" s="14" t="s">
        <v>62</v>
      </c>
      <c r="G11" s="16"/>
      <c r="H11" s="15">
        <v>0</v>
      </c>
      <c r="I11" s="15">
        <f>IF(A11="","",B11+IFERROR(SUMIFS(tblCompras[CANTIDAD],tblCompras[PRODUCTO],A11),0)-IFERROR(SUMIFS(#REF!,#REF!,A11),0))</f>
        <v>6</v>
      </c>
      <c r="J11" s="16">
        <f t="shared" si="1"/>
        <v>6268.4437777777748</v>
      </c>
      <c r="K11" s="21" t="str">
        <f t="shared" si="2"/>
        <v/>
      </c>
    </row>
    <row r="12" spans="1:11" ht="15" customHeight="1" thickBot="1" x14ac:dyDescent="0.35">
      <c r="A12" s="17" t="s">
        <v>72</v>
      </c>
      <c r="B12" s="22">
        <v>11</v>
      </c>
      <c r="C12" s="20">
        <v>998.44433333333302</v>
      </c>
      <c r="D12" s="20">
        <v>46.296296296296298</v>
      </c>
      <c r="E12" s="16">
        <f t="shared" si="0"/>
        <v>1044.7406296296292</v>
      </c>
      <c r="F12" s="14" t="s">
        <v>62</v>
      </c>
      <c r="G12" s="16"/>
      <c r="H12" s="15">
        <v>0</v>
      </c>
      <c r="I12" s="15">
        <f>IF(A12="","",B12+IFERROR(SUMIFS(tblCompras[CANTIDAD],tblCompras[PRODUCTO],A12),0)-IFERROR(SUMIFS(#REF!,#REF!,A12),0))</f>
        <v>11</v>
      </c>
      <c r="J12" s="16">
        <f t="shared" si="1"/>
        <v>11492.146925925921</v>
      </c>
      <c r="K12" s="21" t="str">
        <f t="shared" si="2"/>
        <v/>
      </c>
    </row>
    <row r="13" spans="1:11" ht="15" customHeight="1" thickBot="1" x14ac:dyDescent="0.35">
      <c r="A13" s="17" t="s">
        <v>73</v>
      </c>
      <c r="B13" s="18">
        <v>2</v>
      </c>
      <c r="C13" s="20">
        <v>998.44433333333302</v>
      </c>
      <c r="D13" s="20">
        <v>46.296296296296298</v>
      </c>
      <c r="E13" s="16">
        <f t="shared" si="0"/>
        <v>1044.7406296296292</v>
      </c>
      <c r="F13" s="14" t="s">
        <v>62</v>
      </c>
      <c r="G13" s="16"/>
      <c r="H13" s="15">
        <v>0</v>
      </c>
      <c r="I13" s="15">
        <f>IF(A13="","",B13+IFERROR(SUMIFS(tblCompras[CANTIDAD],tblCompras[PRODUCTO],A13),0)-IFERROR(SUMIFS(#REF!,#REF!,A13),0))</f>
        <v>2</v>
      </c>
      <c r="J13" s="16">
        <f t="shared" si="1"/>
        <v>2089.4812592592584</v>
      </c>
      <c r="K13" s="21" t="str">
        <f t="shared" si="2"/>
        <v/>
      </c>
    </row>
    <row r="14" spans="1:11" ht="15" customHeight="1" thickBot="1" x14ac:dyDescent="0.35">
      <c r="A14" s="17" t="s">
        <v>74</v>
      </c>
      <c r="B14" s="18">
        <v>0</v>
      </c>
      <c r="C14" s="20">
        <v>998.44433333333302</v>
      </c>
      <c r="D14" s="20">
        <v>46.296296296296298</v>
      </c>
      <c r="E14" s="16">
        <f t="shared" si="0"/>
        <v>1044.7406296296292</v>
      </c>
      <c r="F14" s="14" t="s">
        <v>62</v>
      </c>
      <c r="G14" s="16"/>
      <c r="H14" s="15">
        <v>0</v>
      </c>
      <c r="I14" s="15">
        <f>IF(A14="","",B14+IFERROR(SUMIFS(tblCompras[CANTIDAD],tblCompras[PRODUCTO],A14),0)-IFERROR(SUMIFS(#REF!,#REF!,A14),0))</f>
        <v>0</v>
      </c>
      <c r="J14" s="16">
        <f t="shared" si="1"/>
        <v>0</v>
      </c>
      <c r="K14" s="21" t="str">
        <f t="shared" si="2"/>
        <v/>
      </c>
    </row>
    <row r="15" spans="1:11" ht="15" customHeight="1" thickBot="1" x14ac:dyDescent="0.35">
      <c r="A15" s="23" t="s">
        <v>75</v>
      </c>
      <c r="B15" s="24">
        <v>0</v>
      </c>
      <c r="C15" s="20">
        <v>0</v>
      </c>
      <c r="D15" s="20">
        <v>0</v>
      </c>
      <c r="E15" s="25">
        <v>29190</v>
      </c>
      <c r="F15" s="14" t="s">
        <v>76</v>
      </c>
      <c r="G15" s="16"/>
      <c r="H15" s="15">
        <v>0</v>
      </c>
      <c r="I15" s="15">
        <f>IF(A15="","",B15+IFERROR(SUMIFS(tblCompras[CANTIDAD],tblCompras[PRODUCTO],A15),0)-IFERROR(SUMIFS(#REF!,#REF!,A15),0))</f>
        <v>0</v>
      </c>
      <c r="J15" s="16">
        <f t="shared" si="1"/>
        <v>0</v>
      </c>
      <c r="K15" s="21" t="str">
        <f t="shared" si="2"/>
        <v/>
      </c>
    </row>
    <row r="16" spans="1:11" ht="15" customHeight="1" thickBot="1" x14ac:dyDescent="0.35">
      <c r="A16" s="17" t="s">
        <v>77</v>
      </c>
      <c r="B16" s="18">
        <v>1</v>
      </c>
      <c r="C16" s="20">
        <v>0</v>
      </c>
      <c r="D16" s="20">
        <v>0</v>
      </c>
      <c r="E16" s="26">
        <v>35700</v>
      </c>
      <c r="F16" s="14" t="s">
        <v>76</v>
      </c>
      <c r="G16" s="16"/>
      <c r="H16" s="15">
        <v>0</v>
      </c>
      <c r="I16" s="15">
        <f>IF(A16="","",B16+IFERROR(SUMIFS(tblCompras[CANTIDAD],tblCompras[PRODUCTO],A16),0)-IFERROR(SUMIFS(#REF!,#REF!,A16),0))</f>
        <v>1</v>
      </c>
      <c r="J16" s="16">
        <f t="shared" si="1"/>
        <v>35700</v>
      </c>
      <c r="K16" s="21" t="str">
        <f t="shared" si="2"/>
        <v/>
      </c>
    </row>
    <row r="17" spans="1:11" ht="15" customHeight="1" thickBot="1" x14ac:dyDescent="0.35">
      <c r="A17" s="23" t="s">
        <v>78</v>
      </c>
      <c r="B17" s="24">
        <v>0</v>
      </c>
      <c r="C17" s="20">
        <v>0</v>
      </c>
      <c r="D17" s="20">
        <v>0</v>
      </c>
      <c r="E17" s="25">
        <v>17370</v>
      </c>
      <c r="F17" s="14" t="s">
        <v>76</v>
      </c>
      <c r="G17" s="16"/>
      <c r="H17" s="15">
        <v>0</v>
      </c>
      <c r="I17" s="15">
        <f>IF(A17="","",B17+IFERROR(SUMIFS(tblCompras[CANTIDAD],tblCompras[PRODUCTO],A17),0)-IFERROR(SUMIFS(#REF!,#REF!,A17),0))</f>
        <v>0</v>
      </c>
      <c r="J17" s="16">
        <f t="shared" si="1"/>
        <v>0</v>
      </c>
      <c r="K17" s="21" t="str">
        <f t="shared" si="2"/>
        <v/>
      </c>
    </row>
    <row r="18" spans="1:11" ht="15" customHeight="1" thickBot="1" x14ac:dyDescent="0.35">
      <c r="A18" s="23" t="s">
        <v>79</v>
      </c>
      <c r="B18" s="24">
        <v>0</v>
      </c>
      <c r="C18" s="20">
        <v>0</v>
      </c>
      <c r="D18" s="20">
        <v>0</v>
      </c>
      <c r="E18" s="25">
        <v>31620</v>
      </c>
      <c r="F18" s="14" t="s">
        <v>76</v>
      </c>
      <c r="G18" s="16"/>
      <c r="H18" s="15">
        <v>0</v>
      </c>
      <c r="I18" s="15">
        <f>IF(A18="","",B18+IFERROR(SUMIFS(tblCompras[CANTIDAD],tblCompras[PRODUCTO],A18),0)-IFERROR(SUMIFS(#REF!,#REF!,A18),0))</f>
        <v>0</v>
      </c>
      <c r="J18" s="16">
        <f t="shared" si="1"/>
        <v>0</v>
      </c>
      <c r="K18" s="21" t="str">
        <f t="shared" si="2"/>
        <v/>
      </c>
    </row>
    <row r="19" spans="1:11" ht="15" customHeight="1" thickBot="1" x14ac:dyDescent="0.35">
      <c r="A19" s="23" t="s">
        <v>80</v>
      </c>
      <c r="B19" s="24">
        <v>0</v>
      </c>
      <c r="C19" s="20">
        <v>0</v>
      </c>
      <c r="D19" s="20">
        <v>0</v>
      </c>
      <c r="E19" s="25">
        <v>30080</v>
      </c>
      <c r="F19" s="14" t="s">
        <v>76</v>
      </c>
      <c r="G19" s="16"/>
      <c r="H19" s="15">
        <v>0</v>
      </c>
      <c r="I19" s="15">
        <f>IF(A19="","",B19+IFERROR(SUMIFS(tblCompras[CANTIDAD],tblCompras[PRODUCTO],A19),0)-IFERROR(SUMIFS(#REF!,#REF!,A19),0))</f>
        <v>0</v>
      </c>
      <c r="J19" s="16">
        <f t="shared" si="1"/>
        <v>0</v>
      </c>
      <c r="K19" s="21" t="str">
        <f t="shared" si="2"/>
        <v/>
      </c>
    </row>
    <row r="20" spans="1:11" ht="15" customHeight="1" thickBot="1" x14ac:dyDescent="0.35">
      <c r="A20" s="27" t="s">
        <v>81</v>
      </c>
      <c r="B20" s="28">
        <v>0</v>
      </c>
      <c r="C20" s="20">
        <v>0</v>
      </c>
      <c r="D20" s="20">
        <v>0</v>
      </c>
      <c r="E20" s="29">
        <v>2660</v>
      </c>
      <c r="F20" s="14" t="s">
        <v>76</v>
      </c>
      <c r="G20" s="16"/>
      <c r="H20" s="15">
        <v>0</v>
      </c>
      <c r="I20" s="15">
        <f>IF(A20="","",B20+IFERROR(SUMIFS(tblCompras[CANTIDAD],tblCompras[PRODUCTO],A20),0)-IFERROR(SUMIFS(#REF!,#REF!,A20),0))</f>
        <v>0</v>
      </c>
      <c r="J20" s="16">
        <f t="shared" si="1"/>
        <v>0</v>
      </c>
      <c r="K20" s="21" t="str">
        <f t="shared" si="2"/>
        <v/>
      </c>
    </row>
    <row r="21" spans="1:11" ht="15" customHeight="1" thickBot="1" x14ac:dyDescent="0.35">
      <c r="A21" s="23" t="s">
        <v>82</v>
      </c>
      <c r="B21" s="24">
        <v>0</v>
      </c>
      <c r="C21" s="20">
        <v>0</v>
      </c>
      <c r="D21" s="20">
        <v>0</v>
      </c>
      <c r="E21" s="25">
        <v>19690</v>
      </c>
      <c r="F21" s="14" t="s">
        <v>76</v>
      </c>
      <c r="G21" s="16"/>
      <c r="H21" s="15">
        <v>0</v>
      </c>
      <c r="I21" s="15">
        <f>IF(A21="","",B21+IFERROR(SUMIFS(tblCompras[CANTIDAD],tblCompras[PRODUCTO],A21),0)-IFERROR(SUMIFS(#REF!,#REF!,A21),0))</f>
        <v>0</v>
      </c>
      <c r="J21" s="16">
        <f t="shared" si="1"/>
        <v>0</v>
      </c>
      <c r="K21" s="21" t="str">
        <f t="shared" si="2"/>
        <v/>
      </c>
    </row>
    <row r="22" spans="1:11" ht="15" customHeight="1" thickBot="1" x14ac:dyDescent="0.35">
      <c r="A22" s="23" t="s">
        <v>83</v>
      </c>
      <c r="B22" s="24">
        <v>0</v>
      </c>
      <c r="C22" s="20">
        <v>0</v>
      </c>
      <c r="D22" s="20">
        <v>0</v>
      </c>
      <c r="E22" s="25">
        <v>9430</v>
      </c>
      <c r="F22" s="14" t="s">
        <v>76</v>
      </c>
      <c r="G22" s="16"/>
      <c r="H22" s="15">
        <v>0</v>
      </c>
      <c r="I22" s="15">
        <f>IF(A22="","",B22+IFERROR(SUMIFS(tblCompras[CANTIDAD],tblCompras[PRODUCTO],A22),0)-IFERROR(SUMIFS(#REF!,#REF!,A22),0))</f>
        <v>0</v>
      </c>
      <c r="J22" s="16">
        <f t="shared" si="1"/>
        <v>0</v>
      </c>
      <c r="K22" s="21" t="str">
        <f t="shared" si="2"/>
        <v/>
      </c>
    </row>
    <row r="23" spans="1:11" ht="15" customHeight="1" thickBot="1" x14ac:dyDescent="0.35">
      <c r="A23" s="23" t="s">
        <v>84</v>
      </c>
      <c r="B23" s="24">
        <v>0</v>
      </c>
      <c r="C23" s="20">
        <v>0</v>
      </c>
      <c r="D23" s="20">
        <v>0</v>
      </c>
      <c r="E23" s="25">
        <v>45440</v>
      </c>
      <c r="F23" s="14" t="s">
        <v>76</v>
      </c>
      <c r="G23" s="16"/>
      <c r="H23" s="15">
        <v>0</v>
      </c>
      <c r="I23" s="15">
        <f>IF(A23="","",B23+IFERROR(SUMIFS(tblCompras[CANTIDAD],tblCompras[PRODUCTO],A23),0)-IFERROR(SUMIFS(#REF!,#REF!,A23),0))</f>
        <v>0</v>
      </c>
      <c r="J23" s="16">
        <f t="shared" si="1"/>
        <v>0</v>
      </c>
      <c r="K23" s="21" t="str">
        <f t="shared" si="2"/>
        <v/>
      </c>
    </row>
    <row r="24" spans="1:11" ht="15" customHeight="1" thickBot="1" x14ac:dyDescent="0.35">
      <c r="A24" s="23" t="s">
        <v>85</v>
      </c>
      <c r="B24" s="24">
        <v>0</v>
      </c>
      <c r="C24" s="20">
        <v>0</v>
      </c>
      <c r="D24" s="20">
        <v>0</v>
      </c>
      <c r="E24" s="25">
        <v>45440</v>
      </c>
      <c r="F24" s="14" t="s">
        <v>76</v>
      </c>
      <c r="G24" s="16"/>
      <c r="H24" s="15">
        <v>0</v>
      </c>
      <c r="I24" s="15">
        <f>IF(A24="","",B24+IFERROR(SUMIFS(tblCompras[CANTIDAD],tblCompras[PRODUCTO],A24),0)-IFERROR(SUMIFS(#REF!,#REF!,A24),0))</f>
        <v>0</v>
      </c>
      <c r="J24" s="16">
        <f t="shared" si="1"/>
        <v>0</v>
      </c>
      <c r="K24" s="21" t="str">
        <f t="shared" si="2"/>
        <v/>
      </c>
    </row>
    <row r="25" spans="1:11" ht="15" customHeight="1" thickBot="1" x14ac:dyDescent="0.35">
      <c r="A25" s="23" t="s">
        <v>86</v>
      </c>
      <c r="B25" s="24">
        <v>0</v>
      </c>
      <c r="C25" s="20">
        <v>0</v>
      </c>
      <c r="D25" s="20">
        <v>0</v>
      </c>
      <c r="E25" s="25">
        <v>41400</v>
      </c>
      <c r="F25" s="14" t="s">
        <v>76</v>
      </c>
      <c r="G25" s="16"/>
      <c r="H25" s="15">
        <v>0</v>
      </c>
      <c r="I25" s="15">
        <f>IF(A25="","",B25+IFERROR(SUMIFS(tblCompras[CANTIDAD],tblCompras[PRODUCTO],A25),0)-IFERROR(SUMIFS(#REF!,#REF!,A25),0))</f>
        <v>0</v>
      </c>
      <c r="J25" s="16">
        <f t="shared" si="1"/>
        <v>0</v>
      </c>
      <c r="K25" s="21" t="str">
        <f t="shared" si="2"/>
        <v/>
      </c>
    </row>
    <row r="26" spans="1:11" ht="15" customHeight="1" thickBot="1" x14ac:dyDescent="0.35">
      <c r="A26" s="23" t="s">
        <v>87</v>
      </c>
      <c r="B26" s="24">
        <v>0</v>
      </c>
      <c r="C26" s="20">
        <v>0</v>
      </c>
      <c r="D26" s="20">
        <v>0</v>
      </c>
      <c r="E26" s="25">
        <v>41110</v>
      </c>
      <c r="F26" s="14" t="s">
        <v>76</v>
      </c>
      <c r="G26" s="16"/>
      <c r="H26" s="15">
        <v>0</v>
      </c>
      <c r="I26" s="15">
        <f>IF(A26="","",B26+IFERROR(SUMIFS(tblCompras[CANTIDAD],tblCompras[PRODUCTO],A26),0)-IFERROR(SUMIFS(#REF!,#REF!,A26),0))</f>
        <v>0</v>
      </c>
      <c r="J26" s="16">
        <f t="shared" si="1"/>
        <v>0</v>
      </c>
      <c r="K26" s="21" t="str">
        <f t="shared" si="2"/>
        <v/>
      </c>
    </row>
    <row r="27" spans="1:11" ht="15" customHeight="1" thickBot="1" x14ac:dyDescent="0.35">
      <c r="A27" s="27" t="s">
        <v>88</v>
      </c>
      <c r="B27" s="24">
        <v>0</v>
      </c>
      <c r="C27" s="20">
        <v>0</v>
      </c>
      <c r="D27" s="20">
        <v>0</v>
      </c>
      <c r="E27" s="25">
        <v>29740</v>
      </c>
      <c r="F27" s="14" t="s">
        <v>76</v>
      </c>
      <c r="G27" s="16"/>
      <c r="H27" s="15">
        <v>0</v>
      </c>
      <c r="I27" s="15">
        <f>IF(A27="","",B27+IFERROR(SUMIFS(tblCompras[CANTIDAD],tblCompras[PRODUCTO],A27),0)-IFERROR(SUMIFS(#REF!,#REF!,A27),0))</f>
        <v>0</v>
      </c>
      <c r="J27" s="16">
        <f t="shared" si="1"/>
        <v>0</v>
      </c>
      <c r="K27" s="21" t="str">
        <f t="shared" si="2"/>
        <v/>
      </c>
    </row>
    <row r="28" spans="1:11" ht="15" customHeight="1" thickBot="1" x14ac:dyDescent="0.35">
      <c r="A28" s="30" t="s">
        <v>89</v>
      </c>
      <c r="B28" s="18">
        <v>1</v>
      </c>
      <c r="C28" s="20">
        <v>0</v>
      </c>
      <c r="D28" s="20">
        <v>0</v>
      </c>
      <c r="E28" s="26">
        <v>25000</v>
      </c>
      <c r="F28" s="14" t="s">
        <v>76</v>
      </c>
      <c r="G28" s="16"/>
      <c r="H28" s="15">
        <v>0</v>
      </c>
      <c r="I28" s="15">
        <f>IF(A28="","",B28+IFERROR(SUMIFS(tblCompras[CANTIDAD],tblCompras[PRODUCTO],A28),0)-IFERROR(SUMIFS(#REF!,#REF!,A28),0))</f>
        <v>1</v>
      </c>
      <c r="J28" s="16">
        <f t="shared" si="1"/>
        <v>25000</v>
      </c>
      <c r="K28" s="21" t="str">
        <f t="shared" si="2"/>
        <v/>
      </c>
    </row>
    <row r="29" spans="1:11" ht="15" customHeight="1" thickBot="1" x14ac:dyDescent="0.35">
      <c r="A29" s="17" t="s">
        <v>90</v>
      </c>
      <c r="B29" s="18">
        <v>2</v>
      </c>
      <c r="C29" s="20">
        <v>0</v>
      </c>
      <c r="D29" s="20">
        <v>0</v>
      </c>
      <c r="E29" s="26">
        <v>8810</v>
      </c>
      <c r="F29" s="14" t="s">
        <v>76</v>
      </c>
      <c r="G29" s="16"/>
      <c r="H29" s="15">
        <v>0</v>
      </c>
      <c r="I29" s="15">
        <f>IF(A29="","",B29+IFERROR(SUMIFS(tblCompras[CANTIDAD],tblCompras[PRODUCTO],A29),0)-IFERROR(SUMIFS(#REF!,#REF!,A29),0))</f>
        <v>2</v>
      </c>
      <c r="J29" s="16">
        <f t="shared" si="1"/>
        <v>17620</v>
      </c>
      <c r="K29" s="21" t="str">
        <f t="shared" si="2"/>
        <v/>
      </c>
    </row>
    <row r="30" spans="1:11" ht="15" customHeight="1" thickBot="1" x14ac:dyDescent="0.35">
      <c r="A30" s="17" t="s">
        <v>91</v>
      </c>
      <c r="B30" s="18">
        <v>1</v>
      </c>
      <c r="C30" s="20">
        <v>0</v>
      </c>
      <c r="D30" s="20">
        <v>0</v>
      </c>
      <c r="E30" s="26">
        <v>18970</v>
      </c>
      <c r="F30" s="14" t="s">
        <v>76</v>
      </c>
      <c r="G30" s="16"/>
      <c r="H30" s="15">
        <v>0</v>
      </c>
      <c r="I30" s="15">
        <f>IF(A30="","",B30+IFERROR(SUMIFS(tblCompras[CANTIDAD],tblCompras[PRODUCTO],A30),0)-IFERROR(SUMIFS(#REF!,#REF!,A30),0))</f>
        <v>1</v>
      </c>
      <c r="J30" s="16">
        <f t="shared" si="1"/>
        <v>18970</v>
      </c>
      <c r="K30" s="21" t="str">
        <f t="shared" si="2"/>
        <v/>
      </c>
    </row>
    <row r="31" spans="1:11" ht="15" customHeight="1" thickBot="1" x14ac:dyDescent="0.35">
      <c r="A31" s="17" t="s">
        <v>92</v>
      </c>
      <c r="B31" s="18">
        <v>1</v>
      </c>
      <c r="C31" s="20">
        <v>0</v>
      </c>
      <c r="D31" s="20">
        <v>0</v>
      </c>
      <c r="E31" s="26">
        <v>23170</v>
      </c>
      <c r="F31" s="14" t="s">
        <v>76</v>
      </c>
      <c r="G31" s="16"/>
      <c r="H31" s="15">
        <v>0</v>
      </c>
      <c r="I31" s="15">
        <f>IF(A31="","",B31+IFERROR(SUMIFS(tblCompras[CANTIDAD],tblCompras[PRODUCTO],A31),0)-IFERROR(SUMIFS(#REF!,#REF!,A31),0))</f>
        <v>1</v>
      </c>
      <c r="J31" s="16">
        <f t="shared" si="1"/>
        <v>23170</v>
      </c>
      <c r="K31" s="21" t="str">
        <f t="shared" si="2"/>
        <v/>
      </c>
    </row>
    <row r="32" spans="1:11" ht="15" customHeight="1" thickBot="1" x14ac:dyDescent="0.35">
      <c r="A32" s="23" t="s">
        <v>93</v>
      </c>
      <c r="B32" s="24">
        <v>0</v>
      </c>
      <c r="C32" s="20">
        <v>0</v>
      </c>
      <c r="D32" s="20">
        <v>0</v>
      </c>
      <c r="E32" s="25">
        <v>18640</v>
      </c>
      <c r="F32" s="14" t="s">
        <v>76</v>
      </c>
      <c r="G32" s="16"/>
      <c r="H32" s="15">
        <v>0</v>
      </c>
      <c r="I32" s="15">
        <f>IF(A32="","",B32+IFERROR(SUMIFS(tblCompras[CANTIDAD],tblCompras[PRODUCTO],A32),0)-IFERROR(SUMIFS(#REF!,#REF!,A32),0))</f>
        <v>0</v>
      </c>
      <c r="J32" s="16">
        <f t="shared" si="1"/>
        <v>0</v>
      </c>
      <c r="K32" s="21" t="str">
        <f t="shared" si="2"/>
        <v/>
      </c>
    </row>
    <row r="33" spans="1:11" ht="15" customHeight="1" thickBot="1" x14ac:dyDescent="0.35">
      <c r="A33" s="23" t="s">
        <v>94</v>
      </c>
      <c r="B33" s="24">
        <v>0</v>
      </c>
      <c r="C33" s="20">
        <v>0</v>
      </c>
      <c r="D33" s="20">
        <v>0</v>
      </c>
      <c r="E33" s="25">
        <v>28480</v>
      </c>
      <c r="F33" s="14" t="s">
        <v>76</v>
      </c>
      <c r="G33" s="16"/>
      <c r="H33" s="15">
        <v>0</v>
      </c>
      <c r="I33" s="15">
        <f>IF(A33="","",B33+IFERROR(SUMIFS(tblCompras[CANTIDAD],tblCompras[PRODUCTO],A33),0)-IFERROR(SUMIFS(#REF!,#REF!,A33),0))</f>
        <v>0</v>
      </c>
      <c r="J33" s="16">
        <f t="shared" si="1"/>
        <v>0</v>
      </c>
      <c r="K33" s="21" t="str">
        <f t="shared" si="2"/>
        <v/>
      </c>
    </row>
    <row r="34" spans="1:11" ht="15" customHeight="1" thickBot="1" x14ac:dyDescent="0.35">
      <c r="A34" s="23" t="s">
        <v>95</v>
      </c>
      <c r="B34" s="24">
        <v>0</v>
      </c>
      <c r="C34" s="20">
        <v>0</v>
      </c>
      <c r="D34" s="20">
        <v>0</v>
      </c>
      <c r="E34" s="25">
        <v>23060</v>
      </c>
      <c r="F34" s="14" t="s">
        <v>76</v>
      </c>
      <c r="G34" s="16"/>
      <c r="H34" s="15">
        <v>0</v>
      </c>
      <c r="I34" s="15">
        <f>IF(A34="","",B34+IFERROR(SUMIFS(tblCompras[CANTIDAD],tblCompras[PRODUCTO],A34),0)-IFERROR(SUMIFS(#REF!,#REF!,A34),0))</f>
        <v>0</v>
      </c>
      <c r="J34" s="16">
        <f t="shared" ref="J34:J65" si="3">IF(I34="","",I34*E34)</f>
        <v>0</v>
      </c>
      <c r="K34" s="21" t="str">
        <f t="shared" ref="K34:K65" si="4">IF(G34="","",IFERROR((G34-E34)/G34,0))</f>
        <v/>
      </c>
    </row>
    <row r="35" spans="1:11" ht="15" customHeight="1" thickBot="1" x14ac:dyDescent="0.35">
      <c r="A35" s="17" t="s">
        <v>96</v>
      </c>
      <c r="B35" s="18">
        <v>1</v>
      </c>
      <c r="C35" s="20">
        <v>0</v>
      </c>
      <c r="D35" s="20">
        <v>0</v>
      </c>
      <c r="E35" s="26">
        <v>18130</v>
      </c>
      <c r="F35" s="14" t="s">
        <v>76</v>
      </c>
      <c r="G35" s="16"/>
      <c r="H35" s="15">
        <v>0</v>
      </c>
      <c r="I35" s="15">
        <f>IF(A35="","",B35+IFERROR(SUMIFS(tblCompras[CANTIDAD],tblCompras[PRODUCTO],A35),0)-IFERROR(SUMIFS(#REF!,#REF!,A35),0))</f>
        <v>1</v>
      </c>
      <c r="J35" s="16">
        <f t="shared" si="3"/>
        <v>18130</v>
      </c>
      <c r="K35" s="21" t="str">
        <f t="shared" si="4"/>
        <v/>
      </c>
    </row>
    <row r="36" spans="1:11" ht="15" customHeight="1" thickBot="1" x14ac:dyDescent="0.35">
      <c r="A36" s="23" t="s">
        <v>97</v>
      </c>
      <c r="B36" s="24">
        <v>1</v>
      </c>
      <c r="C36" s="20">
        <v>0</v>
      </c>
      <c r="D36" s="20">
        <v>0</v>
      </c>
      <c r="E36" s="25">
        <v>21410</v>
      </c>
      <c r="F36" s="14" t="s">
        <v>76</v>
      </c>
      <c r="G36" s="16"/>
      <c r="H36" s="15">
        <v>0</v>
      </c>
      <c r="I36" s="15">
        <f>IF(A36="","",B36+IFERROR(SUMIFS(tblCompras[CANTIDAD],tblCompras[PRODUCTO],A36),0)-IFERROR(SUMIFS(#REF!,#REF!,A36),0))</f>
        <v>1</v>
      </c>
      <c r="J36" s="16">
        <f t="shared" si="3"/>
        <v>21410</v>
      </c>
      <c r="K36" s="21" t="str">
        <f t="shared" si="4"/>
        <v/>
      </c>
    </row>
    <row r="37" spans="1:11" ht="15" customHeight="1" thickBot="1" x14ac:dyDescent="0.35">
      <c r="A37" s="23" t="s">
        <v>98</v>
      </c>
      <c r="B37" s="24">
        <v>1</v>
      </c>
      <c r="C37" s="20">
        <v>23600</v>
      </c>
      <c r="D37" s="20">
        <v>0</v>
      </c>
      <c r="E37" s="25">
        <v>23600</v>
      </c>
      <c r="F37" s="14" t="s">
        <v>76</v>
      </c>
      <c r="G37" s="16">
        <v>31800</v>
      </c>
      <c r="H37" s="15">
        <v>0</v>
      </c>
      <c r="I37" s="15">
        <f>IF(A37="","",B37+IFERROR(SUMIFS(tblCompras[CANTIDAD],tblCompras[PRODUCTO],A37),0)-IFERROR(SUMIFS(#REF!,#REF!,A37),0))</f>
        <v>1</v>
      </c>
      <c r="J37" s="16">
        <f t="shared" si="3"/>
        <v>23600</v>
      </c>
      <c r="K37" s="21">
        <f t="shared" si="4"/>
        <v>0.25786163522012578</v>
      </c>
    </row>
    <row r="38" spans="1:11" ht="15" customHeight="1" thickBot="1" x14ac:dyDescent="0.35">
      <c r="A38" s="23" t="s">
        <v>99</v>
      </c>
      <c r="B38" s="24">
        <v>0</v>
      </c>
      <c r="C38" s="20">
        <v>0</v>
      </c>
      <c r="D38" s="20">
        <v>0</v>
      </c>
      <c r="E38" s="25">
        <v>18540</v>
      </c>
      <c r="F38" s="14" t="s">
        <v>76</v>
      </c>
      <c r="G38" s="16"/>
      <c r="H38" s="15">
        <v>0</v>
      </c>
      <c r="I38" s="15">
        <f>IF(A38="","",B38+IFERROR(SUMIFS(tblCompras[CANTIDAD],tblCompras[PRODUCTO],A38),0)-IFERROR(SUMIFS(#REF!,#REF!,A38),0))</f>
        <v>0</v>
      </c>
      <c r="J38" s="16">
        <f t="shared" si="3"/>
        <v>0</v>
      </c>
      <c r="K38" s="21" t="str">
        <f t="shared" si="4"/>
        <v/>
      </c>
    </row>
    <row r="39" spans="1:11" ht="15" customHeight="1" thickBot="1" x14ac:dyDescent="0.35">
      <c r="A39" s="23" t="s">
        <v>100</v>
      </c>
      <c r="B39" s="24">
        <v>0</v>
      </c>
      <c r="C39" s="20">
        <v>0</v>
      </c>
      <c r="D39" s="20">
        <v>0</v>
      </c>
      <c r="E39" s="25">
        <v>30490</v>
      </c>
      <c r="F39" s="14" t="s">
        <v>76</v>
      </c>
      <c r="G39" s="16"/>
      <c r="H39" s="15">
        <v>0</v>
      </c>
      <c r="I39" s="15">
        <f>IF(A39="","",B39+IFERROR(SUMIFS(tblCompras[CANTIDAD],tblCompras[PRODUCTO],A39),0)-IFERROR(SUMIFS(#REF!,#REF!,A39),0))</f>
        <v>0</v>
      </c>
      <c r="J39" s="16">
        <f t="shared" si="3"/>
        <v>0</v>
      </c>
      <c r="K39" s="21" t="str">
        <f t="shared" si="4"/>
        <v/>
      </c>
    </row>
    <row r="40" spans="1:11" ht="15" customHeight="1" thickBot="1" x14ac:dyDescent="0.35">
      <c r="A40" s="23" t="s">
        <v>101</v>
      </c>
      <c r="B40" s="24">
        <v>0</v>
      </c>
      <c r="C40" s="20">
        <v>0</v>
      </c>
      <c r="D40" s="20">
        <v>0</v>
      </c>
      <c r="E40" s="25">
        <v>71950</v>
      </c>
      <c r="F40" s="14" t="s">
        <v>76</v>
      </c>
      <c r="G40" s="16"/>
      <c r="H40" s="15">
        <v>0</v>
      </c>
      <c r="I40" s="15">
        <f>IF(A40="","",B40+IFERROR(SUMIFS(tblCompras[CANTIDAD],tblCompras[PRODUCTO],A40),0)-IFERROR(SUMIFS(#REF!,#REF!,A40),0))</f>
        <v>0</v>
      </c>
      <c r="J40" s="16">
        <f t="shared" si="3"/>
        <v>0</v>
      </c>
      <c r="K40" s="21" t="str">
        <f t="shared" si="4"/>
        <v/>
      </c>
    </row>
    <row r="41" spans="1:11" ht="15" customHeight="1" thickBot="1" x14ac:dyDescent="0.35">
      <c r="A41" s="23" t="s">
        <v>102</v>
      </c>
      <c r="B41" s="24">
        <v>0</v>
      </c>
      <c r="C41" s="20">
        <v>0</v>
      </c>
      <c r="D41" s="20">
        <v>0</v>
      </c>
      <c r="E41" s="25">
        <v>9780</v>
      </c>
      <c r="F41" s="14" t="s">
        <v>76</v>
      </c>
      <c r="G41" s="16"/>
      <c r="H41" s="15">
        <v>0</v>
      </c>
      <c r="I41" s="15">
        <f>IF(A41="","",B41+IFERROR(SUMIFS(tblCompras[CANTIDAD],tblCompras[PRODUCTO],A41),0)-IFERROR(SUMIFS(#REF!,#REF!,A41),0))</f>
        <v>0</v>
      </c>
      <c r="J41" s="16">
        <f t="shared" si="3"/>
        <v>0</v>
      </c>
      <c r="K41" s="21" t="str">
        <f t="shared" si="4"/>
        <v/>
      </c>
    </row>
    <row r="42" spans="1:11" ht="15" customHeight="1" thickBot="1" x14ac:dyDescent="0.35">
      <c r="A42" s="23" t="s">
        <v>103</v>
      </c>
      <c r="B42" s="24">
        <v>0</v>
      </c>
      <c r="C42" s="20">
        <v>0</v>
      </c>
      <c r="D42" s="20">
        <v>0</v>
      </c>
      <c r="E42" s="25">
        <v>49450</v>
      </c>
      <c r="F42" s="14" t="s">
        <v>76</v>
      </c>
      <c r="G42" s="16"/>
      <c r="H42" s="15">
        <v>0</v>
      </c>
      <c r="I42" s="15">
        <f>IF(A42="","",B42+IFERROR(SUMIFS(tblCompras[CANTIDAD],tblCompras[PRODUCTO],A42),0)-IFERROR(SUMIFS(#REF!,#REF!,A42),0))</f>
        <v>0</v>
      </c>
      <c r="J42" s="16">
        <f t="shared" si="3"/>
        <v>0</v>
      </c>
      <c r="K42" s="21" t="str">
        <f t="shared" si="4"/>
        <v/>
      </c>
    </row>
    <row r="43" spans="1:11" ht="15" customHeight="1" thickBot="1" x14ac:dyDescent="0.35">
      <c r="A43" s="23" t="s">
        <v>104</v>
      </c>
      <c r="B43" s="24">
        <v>0</v>
      </c>
      <c r="C43" s="20">
        <v>0</v>
      </c>
      <c r="D43" s="20">
        <v>0</v>
      </c>
      <c r="E43" s="25">
        <v>10600</v>
      </c>
      <c r="F43" s="14" t="s">
        <v>76</v>
      </c>
      <c r="G43" s="16"/>
      <c r="H43" s="15">
        <v>0</v>
      </c>
      <c r="I43" s="15">
        <f>IF(A43="","",B43+IFERROR(SUMIFS(tblCompras[CANTIDAD],tblCompras[PRODUCTO],A43),0)-IFERROR(SUMIFS(#REF!,#REF!,A43),0))</f>
        <v>0</v>
      </c>
      <c r="J43" s="16">
        <f t="shared" si="3"/>
        <v>0</v>
      </c>
      <c r="K43" s="21" t="str">
        <f t="shared" si="4"/>
        <v/>
      </c>
    </row>
    <row r="44" spans="1:11" ht="15" customHeight="1" thickBot="1" x14ac:dyDescent="0.35">
      <c r="A44" s="23" t="s">
        <v>105</v>
      </c>
      <c r="B44" s="24">
        <v>0</v>
      </c>
      <c r="C44" s="20">
        <v>0</v>
      </c>
      <c r="D44" s="20">
        <v>0</v>
      </c>
      <c r="E44" s="25">
        <v>53510</v>
      </c>
      <c r="F44" s="14" t="s">
        <v>76</v>
      </c>
      <c r="G44" s="16"/>
      <c r="H44" s="15">
        <v>0</v>
      </c>
      <c r="I44" s="15">
        <f>IF(A44="","",B44+IFERROR(SUMIFS(tblCompras[CANTIDAD],tblCompras[PRODUCTO],A44),0)-IFERROR(SUMIFS(#REF!,#REF!,A44),0))</f>
        <v>0</v>
      </c>
      <c r="J44" s="16">
        <f t="shared" si="3"/>
        <v>0</v>
      </c>
      <c r="K44" s="21" t="str">
        <f t="shared" si="4"/>
        <v/>
      </c>
    </row>
    <row r="45" spans="1:11" ht="15" customHeight="1" thickBot="1" x14ac:dyDescent="0.35">
      <c r="A45" s="17" t="s">
        <v>106</v>
      </c>
      <c r="B45" s="18">
        <v>1</v>
      </c>
      <c r="C45" s="20">
        <v>0</v>
      </c>
      <c r="D45" s="20">
        <v>0</v>
      </c>
      <c r="E45" s="26">
        <v>38060</v>
      </c>
      <c r="F45" s="14" t="s">
        <v>76</v>
      </c>
      <c r="G45" s="16"/>
      <c r="H45" s="15">
        <v>0</v>
      </c>
      <c r="I45" s="15">
        <f>IF(A45="","",B45+IFERROR(SUMIFS(tblCompras[CANTIDAD],tblCompras[PRODUCTO],A45),0)-IFERROR(SUMIFS(#REF!,#REF!,A45),0))</f>
        <v>1</v>
      </c>
      <c r="J45" s="16">
        <f t="shared" si="3"/>
        <v>38060</v>
      </c>
      <c r="K45" s="21" t="str">
        <f t="shared" si="4"/>
        <v/>
      </c>
    </row>
    <row r="46" spans="1:11" ht="15" customHeight="1" thickBot="1" x14ac:dyDescent="0.35">
      <c r="A46" s="23" t="s">
        <v>107</v>
      </c>
      <c r="B46" s="24">
        <v>0</v>
      </c>
      <c r="C46" s="20">
        <v>0</v>
      </c>
      <c r="D46" s="20">
        <v>0</v>
      </c>
      <c r="E46" s="25">
        <v>56052.25</v>
      </c>
      <c r="F46" s="14" t="s">
        <v>76</v>
      </c>
      <c r="G46" s="16"/>
      <c r="H46" s="15">
        <v>0</v>
      </c>
      <c r="I46" s="15">
        <f>IF(A46="","",B46+IFERROR(SUMIFS(tblCompras[CANTIDAD],tblCompras[PRODUCTO],A46),0)-IFERROR(SUMIFS(#REF!,#REF!,A46),0))</f>
        <v>0</v>
      </c>
      <c r="J46" s="16">
        <f t="shared" si="3"/>
        <v>0</v>
      </c>
      <c r="K46" s="21" t="str">
        <f t="shared" si="4"/>
        <v/>
      </c>
    </row>
    <row r="47" spans="1:11" ht="15" customHeight="1" thickBot="1" x14ac:dyDescent="0.35">
      <c r="A47" s="17" t="s">
        <v>108</v>
      </c>
      <c r="B47" s="18">
        <v>2</v>
      </c>
      <c r="C47" s="20">
        <v>0</v>
      </c>
      <c r="D47" s="20">
        <v>0</v>
      </c>
      <c r="E47" s="26">
        <v>1400</v>
      </c>
      <c r="F47" s="14" t="s">
        <v>76</v>
      </c>
      <c r="G47" s="16"/>
      <c r="H47" s="15">
        <v>0</v>
      </c>
      <c r="I47" s="15">
        <f>IF(A47="","",B47+IFERROR(SUMIFS(tblCompras[CANTIDAD],tblCompras[PRODUCTO],A47),0)-IFERROR(SUMIFS(#REF!,#REF!,A47),0))</f>
        <v>2</v>
      </c>
      <c r="J47" s="16">
        <f t="shared" si="3"/>
        <v>2800</v>
      </c>
      <c r="K47" s="21" t="str">
        <f t="shared" si="4"/>
        <v/>
      </c>
    </row>
    <row r="48" spans="1:11" ht="15" customHeight="1" thickBot="1" x14ac:dyDescent="0.35">
      <c r="A48" s="17" t="s">
        <v>109</v>
      </c>
      <c r="B48" s="18">
        <v>4</v>
      </c>
      <c r="C48" s="20">
        <v>0</v>
      </c>
      <c r="D48" s="20">
        <v>0</v>
      </c>
      <c r="E48" s="26">
        <v>1680</v>
      </c>
      <c r="F48" s="14" t="s">
        <v>76</v>
      </c>
      <c r="G48" s="16"/>
      <c r="H48" s="15">
        <v>0</v>
      </c>
      <c r="I48" s="15">
        <f>IF(A48="","",B48+IFERROR(SUMIFS(tblCompras[CANTIDAD],tblCompras[PRODUCTO],A48),0)-IFERROR(SUMIFS(#REF!,#REF!,A48),0))</f>
        <v>4</v>
      </c>
      <c r="J48" s="16">
        <f t="shared" si="3"/>
        <v>6720</v>
      </c>
      <c r="K48" s="21" t="str">
        <f t="shared" si="4"/>
        <v/>
      </c>
    </row>
    <row r="49" spans="1:11" ht="15" customHeight="1" thickBot="1" x14ac:dyDescent="0.35">
      <c r="A49" s="23" t="s">
        <v>110</v>
      </c>
      <c r="B49" s="24">
        <v>0</v>
      </c>
      <c r="C49" s="20">
        <v>0</v>
      </c>
      <c r="D49" s="20">
        <v>0</v>
      </c>
      <c r="E49" s="25">
        <v>7560</v>
      </c>
      <c r="F49" s="14" t="s">
        <v>76</v>
      </c>
      <c r="G49" s="16"/>
      <c r="H49" s="15">
        <v>0</v>
      </c>
      <c r="I49" s="15">
        <f>IF(A49="","",B49+IFERROR(SUMIFS(tblCompras[CANTIDAD],tblCompras[PRODUCTO],A49),0)-IFERROR(SUMIFS(#REF!,#REF!,A49),0))</f>
        <v>0</v>
      </c>
      <c r="J49" s="16">
        <f t="shared" si="3"/>
        <v>0</v>
      </c>
      <c r="K49" s="21" t="str">
        <f t="shared" si="4"/>
        <v/>
      </c>
    </row>
    <row r="50" spans="1:11" ht="15" customHeight="1" thickBot="1" x14ac:dyDescent="0.35">
      <c r="A50" s="23" t="s">
        <v>111</v>
      </c>
      <c r="B50" s="24">
        <v>0</v>
      </c>
      <c r="C50" s="20">
        <v>0</v>
      </c>
      <c r="D50" s="20">
        <v>0</v>
      </c>
      <c r="E50" s="25"/>
      <c r="F50" s="14" t="s">
        <v>76</v>
      </c>
      <c r="G50" s="16"/>
      <c r="H50" s="15">
        <v>0</v>
      </c>
      <c r="I50" s="15">
        <f>IF(A50="","",B50+IFERROR(SUMIFS(tblCompras[CANTIDAD],tblCompras[PRODUCTO],A50),0)-IFERROR(SUMIFS(#REF!,#REF!,A50),0))</f>
        <v>0</v>
      </c>
      <c r="J50" s="16">
        <f t="shared" si="3"/>
        <v>0</v>
      </c>
      <c r="K50" s="21" t="str">
        <f t="shared" si="4"/>
        <v/>
      </c>
    </row>
    <row r="51" spans="1:11" ht="15" customHeight="1" thickBot="1" x14ac:dyDescent="0.35">
      <c r="A51" s="27" t="s">
        <v>112</v>
      </c>
      <c r="B51" s="24">
        <v>0</v>
      </c>
      <c r="C51" s="20">
        <v>0</v>
      </c>
      <c r="D51" s="20">
        <v>0</v>
      </c>
      <c r="E51" s="25">
        <v>32100</v>
      </c>
      <c r="F51" s="14" t="s">
        <v>76</v>
      </c>
      <c r="G51" s="16"/>
      <c r="H51" s="15">
        <v>0</v>
      </c>
      <c r="I51" s="15">
        <f>IF(A51="","",B51+IFERROR(SUMIFS(tblCompras[CANTIDAD],tblCompras[PRODUCTO],A51),0)-IFERROR(SUMIFS(#REF!,#REF!,A51),0))</f>
        <v>0</v>
      </c>
      <c r="J51" s="16">
        <f t="shared" si="3"/>
        <v>0</v>
      </c>
      <c r="K51" s="21" t="str">
        <f t="shared" si="4"/>
        <v/>
      </c>
    </row>
    <row r="52" spans="1:11" ht="15" customHeight="1" thickBot="1" x14ac:dyDescent="0.35">
      <c r="A52" s="23" t="s">
        <v>113</v>
      </c>
      <c r="B52" s="24">
        <v>0</v>
      </c>
      <c r="C52" s="20">
        <v>0</v>
      </c>
      <c r="D52" s="20">
        <v>0</v>
      </c>
      <c r="E52" s="25">
        <v>17600</v>
      </c>
      <c r="F52" s="14" t="s">
        <v>76</v>
      </c>
      <c r="G52" s="16"/>
      <c r="H52" s="15">
        <v>0</v>
      </c>
      <c r="I52" s="15">
        <f>IF(A52="","",B52+IFERROR(SUMIFS(tblCompras[CANTIDAD],tblCompras[PRODUCTO],A52),0)-IFERROR(SUMIFS(#REF!,#REF!,A52),0))</f>
        <v>0</v>
      </c>
      <c r="J52" s="16">
        <f t="shared" si="3"/>
        <v>0</v>
      </c>
      <c r="K52" s="21" t="str">
        <f t="shared" si="4"/>
        <v/>
      </c>
    </row>
    <row r="53" spans="1:11" ht="15" customHeight="1" thickBot="1" x14ac:dyDescent="0.35">
      <c r="A53" s="23" t="s">
        <v>114</v>
      </c>
      <c r="B53" s="24">
        <v>0</v>
      </c>
      <c r="C53" s="20">
        <v>0</v>
      </c>
      <c r="D53" s="20">
        <v>0</v>
      </c>
      <c r="E53" s="25">
        <v>9350</v>
      </c>
      <c r="F53" s="14" t="s">
        <v>76</v>
      </c>
      <c r="G53" s="16"/>
      <c r="H53" s="15">
        <v>0</v>
      </c>
      <c r="I53" s="15">
        <f>IF(A53="","",B53+IFERROR(SUMIFS(tblCompras[CANTIDAD],tblCompras[PRODUCTO],A53),0)-IFERROR(SUMIFS(#REF!,#REF!,A53),0))</f>
        <v>0</v>
      </c>
      <c r="J53" s="16">
        <f t="shared" si="3"/>
        <v>0</v>
      </c>
      <c r="K53" s="21" t="str">
        <f t="shared" si="4"/>
        <v/>
      </c>
    </row>
    <row r="54" spans="1:11" ht="15" customHeight="1" thickBot="1" x14ac:dyDescent="0.35">
      <c r="A54" s="23" t="s">
        <v>115</v>
      </c>
      <c r="B54" s="24">
        <v>0</v>
      </c>
      <c r="C54" s="20">
        <v>0</v>
      </c>
      <c r="D54" s="20">
        <v>0</v>
      </c>
      <c r="E54" s="25">
        <v>12700</v>
      </c>
      <c r="F54" s="14" t="s">
        <v>76</v>
      </c>
      <c r="G54" s="16"/>
      <c r="H54" s="15">
        <v>0</v>
      </c>
      <c r="I54" s="15">
        <f>IF(A54="","",B54+IFERROR(SUMIFS(tblCompras[CANTIDAD],tblCompras[PRODUCTO],A54),0)-IFERROR(SUMIFS(#REF!,#REF!,A54),0))</f>
        <v>0</v>
      </c>
      <c r="J54" s="16">
        <f t="shared" si="3"/>
        <v>0</v>
      </c>
      <c r="K54" s="21" t="str">
        <f t="shared" si="4"/>
        <v/>
      </c>
    </row>
    <row r="55" spans="1:11" ht="15" customHeight="1" thickBot="1" x14ac:dyDescent="0.35">
      <c r="A55" s="23" t="s">
        <v>116</v>
      </c>
      <c r="B55" s="24">
        <v>0</v>
      </c>
      <c r="C55" s="20">
        <v>0</v>
      </c>
      <c r="D55" s="20">
        <v>0</v>
      </c>
      <c r="E55" s="25">
        <v>15800</v>
      </c>
      <c r="F55" s="14" t="s">
        <v>76</v>
      </c>
      <c r="G55" s="16"/>
      <c r="H55" s="15">
        <v>0</v>
      </c>
      <c r="I55" s="15">
        <f>IF(A55="","",B55+IFERROR(SUMIFS(tblCompras[CANTIDAD],tblCompras[PRODUCTO],A55),0)-IFERROR(SUMIFS(#REF!,#REF!,A55),0))</f>
        <v>0</v>
      </c>
      <c r="J55" s="16">
        <f t="shared" si="3"/>
        <v>0</v>
      </c>
      <c r="K55" s="21" t="str">
        <f t="shared" si="4"/>
        <v/>
      </c>
    </row>
    <row r="56" spans="1:11" ht="15" customHeight="1" thickBot="1" x14ac:dyDescent="0.35">
      <c r="A56" s="17" t="s">
        <v>117</v>
      </c>
      <c r="B56" s="18">
        <v>5</v>
      </c>
      <c r="C56" s="20">
        <v>0</v>
      </c>
      <c r="D56" s="20">
        <v>0</v>
      </c>
      <c r="E56" s="26">
        <v>2400</v>
      </c>
      <c r="F56" s="14" t="s">
        <v>76</v>
      </c>
      <c r="G56" s="16"/>
      <c r="H56" s="15">
        <v>0</v>
      </c>
      <c r="I56" s="15">
        <f>IF(A56="","",B56+IFERROR(SUMIFS(tblCompras[CANTIDAD],tblCompras[PRODUCTO],A56),0)-IFERROR(SUMIFS(#REF!,#REF!,A56),0))</f>
        <v>5</v>
      </c>
      <c r="J56" s="16">
        <f t="shared" si="3"/>
        <v>12000</v>
      </c>
      <c r="K56" s="21" t="str">
        <f t="shared" si="4"/>
        <v/>
      </c>
    </row>
    <row r="57" spans="1:11" ht="15" customHeight="1" thickBot="1" x14ac:dyDescent="0.35">
      <c r="A57" s="17" t="s">
        <v>118</v>
      </c>
      <c r="B57" s="18">
        <v>5</v>
      </c>
      <c r="C57" s="20">
        <v>0</v>
      </c>
      <c r="D57" s="20">
        <v>0</v>
      </c>
      <c r="E57" s="26">
        <v>2516.6666666666601</v>
      </c>
      <c r="F57" s="14" t="s">
        <v>76</v>
      </c>
      <c r="G57" s="16"/>
      <c r="H57" s="15">
        <v>0</v>
      </c>
      <c r="I57" s="15">
        <f>IF(A57="","",B57+IFERROR(SUMIFS(tblCompras[CANTIDAD],tblCompras[PRODUCTO],A57),0)-IFERROR(SUMIFS(#REF!,#REF!,A57),0))</f>
        <v>5</v>
      </c>
      <c r="J57" s="16">
        <f t="shared" si="3"/>
        <v>12583.333333333301</v>
      </c>
      <c r="K57" s="21" t="str">
        <f t="shared" si="4"/>
        <v/>
      </c>
    </row>
    <row r="58" spans="1:11" ht="15" customHeight="1" thickBot="1" x14ac:dyDescent="0.35">
      <c r="A58" s="17" t="s">
        <v>119</v>
      </c>
      <c r="B58" s="18">
        <v>5</v>
      </c>
      <c r="C58" s="20">
        <v>0</v>
      </c>
      <c r="D58" s="20">
        <v>0</v>
      </c>
      <c r="E58" s="26">
        <v>2783.3333333333298</v>
      </c>
      <c r="F58" s="14" t="s">
        <v>76</v>
      </c>
      <c r="G58" s="16"/>
      <c r="H58" s="15">
        <v>0</v>
      </c>
      <c r="I58" s="15">
        <f>IF(A58="","",B58+IFERROR(SUMIFS(tblCompras[CANTIDAD],tblCompras[PRODUCTO],A58),0)-IFERROR(SUMIFS(#REF!,#REF!,A58),0))</f>
        <v>5</v>
      </c>
      <c r="J58" s="16">
        <f t="shared" si="3"/>
        <v>13916.66666666665</v>
      </c>
      <c r="K58" s="21" t="str">
        <f t="shared" si="4"/>
        <v/>
      </c>
    </row>
    <row r="59" spans="1:11" ht="15" customHeight="1" thickBot="1" x14ac:dyDescent="0.35">
      <c r="A59" s="23" t="s">
        <v>120</v>
      </c>
      <c r="B59" s="24">
        <v>0</v>
      </c>
      <c r="C59" s="20">
        <v>0</v>
      </c>
      <c r="D59" s="20">
        <v>0</v>
      </c>
      <c r="E59" s="25">
        <v>42000</v>
      </c>
      <c r="F59" s="14" t="s">
        <v>76</v>
      </c>
      <c r="G59" s="16"/>
      <c r="H59" s="15">
        <v>0</v>
      </c>
      <c r="I59" s="15">
        <f>IF(A59="","",B59+IFERROR(SUMIFS(tblCompras[CANTIDAD],tblCompras[PRODUCTO],A59),0)-IFERROR(SUMIFS(#REF!,#REF!,A59),0))</f>
        <v>0</v>
      </c>
      <c r="J59" s="16">
        <f t="shared" si="3"/>
        <v>0</v>
      </c>
      <c r="K59" s="21" t="str">
        <f t="shared" si="4"/>
        <v/>
      </c>
    </row>
    <row r="60" spans="1:11" ht="15" customHeight="1" thickBot="1" x14ac:dyDescent="0.35">
      <c r="A60" s="23" t="s">
        <v>121</v>
      </c>
      <c r="B60" s="24">
        <v>0</v>
      </c>
      <c r="C60" s="20">
        <v>0</v>
      </c>
      <c r="D60" s="20">
        <v>0</v>
      </c>
      <c r="E60" s="25">
        <v>16180</v>
      </c>
      <c r="F60" s="14" t="s">
        <v>76</v>
      </c>
      <c r="G60" s="16"/>
      <c r="H60" s="15">
        <v>0</v>
      </c>
      <c r="I60" s="15">
        <f>IF(A60="","",B60+IFERROR(SUMIFS(tblCompras[CANTIDAD],tblCompras[PRODUCTO],A60),0)-IFERROR(SUMIFS(#REF!,#REF!,A60),0))</f>
        <v>0</v>
      </c>
      <c r="J60" s="16">
        <f t="shared" si="3"/>
        <v>0</v>
      </c>
      <c r="K60" s="21" t="str">
        <f t="shared" si="4"/>
        <v/>
      </c>
    </row>
    <row r="61" spans="1:11" ht="15" customHeight="1" thickBot="1" x14ac:dyDescent="0.35">
      <c r="A61" s="23" t="s">
        <v>122</v>
      </c>
      <c r="B61" s="24">
        <v>0</v>
      </c>
      <c r="C61" s="20">
        <v>0</v>
      </c>
      <c r="D61" s="20">
        <v>0</v>
      </c>
      <c r="E61" s="25">
        <v>38170</v>
      </c>
      <c r="F61" s="14" t="s">
        <v>76</v>
      </c>
      <c r="G61" s="16"/>
      <c r="H61" s="15">
        <v>0</v>
      </c>
      <c r="I61" s="15">
        <f>IF(A61="","",B61+IFERROR(SUMIFS(tblCompras[CANTIDAD],tblCompras[PRODUCTO],A61),0)-IFERROR(SUMIFS(#REF!,#REF!,A61),0))</f>
        <v>0</v>
      </c>
      <c r="J61" s="16">
        <f t="shared" si="3"/>
        <v>0</v>
      </c>
      <c r="K61" s="21" t="str">
        <f t="shared" si="4"/>
        <v/>
      </c>
    </row>
    <row r="62" spans="1:11" ht="15" customHeight="1" thickBot="1" x14ac:dyDescent="0.35">
      <c r="A62" s="23" t="s">
        <v>123</v>
      </c>
      <c r="B62" s="24">
        <v>0</v>
      </c>
      <c r="C62" s="20">
        <v>0</v>
      </c>
      <c r="D62" s="20">
        <v>0</v>
      </c>
      <c r="E62" s="25">
        <v>16027.6</v>
      </c>
      <c r="F62" s="14" t="s">
        <v>76</v>
      </c>
      <c r="G62" s="16"/>
      <c r="H62" s="15">
        <v>0</v>
      </c>
      <c r="I62" s="15">
        <f>IF(A62="","",B62+IFERROR(SUMIFS(tblCompras[CANTIDAD],tblCompras[PRODUCTO],A62),0)-IFERROR(SUMIFS(#REF!,#REF!,A62),0))</f>
        <v>0</v>
      </c>
      <c r="J62" s="16">
        <f t="shared" si="3"/>
        <v>0</v>
      </c>
      <c r="K62" s="21" t="str">
        <f t="shared" si="4"/>
        <v/>
      </c>
    </row>
    <row r="63" spans="1:11" ht="15" customHeight="1" thickBot="1" x14ac:dyDescent="0.35">
      <c r="A63" s="17" t="s">
        <v>124</v>
      </c>
      <c r="B63" s="18">
        <v>2</v>
      </c>
      <c r="C63" s="20">
        <v>0</v>
      </c>
      <c r="D63" s="20">
        <v>0</v>
      </c>
      <c r="E63" s="26">
        <v>0</v>
      </c>
      <c r="F63" s="14" t="s">
        <v>76</v>
      </c>
      <c r="G63" s="16"/>
      <c r="H63" s="15">
        <v>0</v>
      </c>
      <c r="I63" s="15">
        <f>IF(A63="","",B63+IFERROR(SUMIFS(tblCompras[CANTIDAD],tblCompras[PRODUCTO],A63),0)-IFERROR(SUMIFS(#REF!,#REF!,A63),0))</f>
        <v>2</v>
      </c>
      <c r="J63" s="16">
        <f t="shared" si="3"/>
        <v>0</v>
      </c>
      <c r="K63" s="21" t="str">
        <f t="shared" si="4"/>
        <v/>
      </c>
    </row>
    <row r="64" spans="1:11" ht="15" customHeight="1" thickBot="1" x14ac:dyDescent="0.35">
      <c r="A64" s="17" t="s">
        <v>125</v>
      </c>
      <c r="B64" s="18">
        <v>1</v>
      </c>
      <c r="C64" s="20">
        <v>0</v>
      </c>
      <c r="D64" s="20">
        <v>0</v>
      </c>
      <c r="E64" s="26">
        <v>0</v>
      </c>
      <c r="F64" s="14" t="s">
        <v>76</v>
      </c>
      <c r="G64" s="16"/>
      <c r="H64" s="15">
        <v>0</v>
      </c>
      <c r="I64" s="15">
        <f>IF(A64="","",B64+IFERROR(SUMIFS(tblCompras[CANTIDAD],tblCompras[PRODUCTO],A64),0)-IFERROR(SUMIFS(#REF!,#REF!,A64),0))</f>
        <v>1</v>
      </c>
      <c r="J64" s="16">
        <f t="shared" si="3"/>
        <v>0</v>
      </c>
      <c r="K64" s="21" t="str">
        <f t="shared" si="4"/>
        <v/>
      </c>
    </row>
    <row r="65" spans="1:11" ht="15" customHeight="1" thickBot="1" x14ac:dyDescent="0.35">
      <c r="A65" s="17" t="s">
        <v>126</v>
      </c>
      <c r="B65" s="18">
        <v>0</v>
      </c>
      <c r="C65" s="20">
        <v>0</v>
      </c>
      <c r="D65" s="20">
        <v>0</v>
      </c>
      <c r="E65" s="26">
        <v>890</v>
      </c>
      <c r="F65" s="14" t="s">
        <v>76</v>
      </c>
      <c r="G65" s="16"/>
      <c r="H65" s="15">
        <v>0</v>
      </c>
      <c r="I65" s="15">
        <f>IF(A65="","",B65+IFERROR(SUMIFS(tblCompras[CANTIDAD],tblCompras[PRODUCTO],A65),0)-IFERROR(SUMIFS(#REF!,#REF!,A65),0))</f>
        <v>0</v>
      </c>
      <c r="J65" s="16">
        <f t="shared" si="3"/>
        <v>0</v>
      </c>
      <c r="K65" s="21" t="str">
        <f t="shared" si="4"/>
        <v/>
      </c>
    </row>
    <row r="66" spans="1:11" ht="15" customHeight="1" thickBot="1" x14ac:dyDescent="0.35">
      <c r="A66" s="23" t="s">
        <v>127</v>
      </c>
      <c r="B66" s="24">
        <v>0</v>
      </c>
      <c r="C66" s="20">
        <v>0</v>
      </c>
      <c r="D66" s="20">
        <v>0</v>
      </c>
      <c r="E66" s="25">
        <v>29800</v>
      </c>
      <c r="F66" s="14" t="s">
        <v>76</v>
      </c>
      <c r="G66" s="16"/>
      <c r="H66" s="15">
        <v>0</v>
      </c>
      <c r="I66" s="15">
        <f>IF(A66="","",B66+IFERROR(SUMIFS(tblCompras[CANTIDAD],tblCompras[PRODUCTO],A66),0)-IFERROR(SUMIFS(#REF!,#REF!,A66),0))</f>
        <v>0</v>
      </c>
      <c r="J66" s="16">
        <f t="shared" ref="J66:J90" si="5">IF(I66="","",I66*E66)</f>
        <v>0</v>
      </c>
      <c r="K66" s="21" t="str">
        <f t="shared" ref="K66:K90" si="6">IF(G66="","",IFERROR((G66-E66)/G66,0))</f>
        <v/>
      </c>
    </row>
    <row r="67" spans="1:11" ht="15" customHeight="1" thickBot="1" x14ac:dyDescent="0.35">
      <c r="A67" s="31" t="s">
        <v>128</v>
      </c>
      <c r="B67" s="15">
        <v>2</v>
      </c>
      <c r="C67" s="20">
        <v>0</v>
      </c>
      <c r="D67" s="20">
        <v>0</v>
      </c>
      <c r="E67" s="16">
        <v>3412.8</v>
      </c>
      <c r="F67" s="14" t="s">
        <v>129</v>
      </c>
      <c r="G67" s="16"/>
      <c r="H67" s="15">
        <v>0</v>
      </c>
      <c r="I67" s="15">
        <f>IF(A67="","",B67+IFERROR(SUMIFS(tblCompras[CANTIDAD],tblCompras[PRODUCTO],A67),0)-IFERROR(SUMIFS(#REF!,#REF!,A67),0))</f>
        <v>2</v>
      </c>
      <c r="J67" s="16">
        <f t="shared" si="5"/>
        <v>6825.6</v>
      </c>
      <c r="K67" s="21" t="str">
        <f t="shared" si="6"/>
        <v/>
      </c>
    </row>
    <row r="68" spans="1:11" ht="15" customHeight="1" thickBot="1" x14ac:dyDescent="0.35">
      <c r="A68" s="32" t="s">
        <v>130</v>
      </c>
      <c r="B68" s="15">
        <v>0</v>
      </c>
      <c r="C68" s="20">
        <v>0</v>
      </c>
      <c r="D68" s="20">
        <v>0</v>
      </c>
      <c r="E68" s="16">
        <v>3412.8</v>
      </c>
      <c r="F68" s="14" t="s">
        <v>129</v>
      </c>
      <c r="G68" s="16"/>
      <c r="H68" s="15">
        <v>0</v>
      </c>
      <c r="I68" s="15">
        <f>IF(A68="","",B68+IFERROR(SUMIFS(tblCompras[CANTIDAD],tblCompras[PRODUCTO],A68),0)-IFERROR(SUMIFS(#REF!,#REF!,A68),0))</f>
        <v>0</v>
      </c>
      <c r="J68" s="16">
        <f t="shared" si="5"/>
        <v>0</v>
      </c>
      <c r="K68" s="21" t="str">
        <f t="shared" si="6"/>
        <v/>
      </c>
    </row>
    <row r="69" spans="1:11" ht="15" customHeight="1" thickBot="1" x14ac:dyDescent="0.35">
      <c r="A69" s="31" t="s">
        <v>131</v>
      </c>
      <c r="B69" s="15">
        <v>1</v>
      </c>
      <c r="C69" s="20">
        <v>0</v>
      </c>
      <c r="D69" s="20">
        <v>0</v>
      </c>
      <c r="E69" s="16">
        <v>3412.8</v>
      </c>
      <c r="F69" s="14" t="s">
        <v>129</v>
      </c>
      <c r="G69" s="16"/>
      <c r="H69" s="15">
        <v>0</v>
      </c>
      <c r="I69" s="15">
        <f>IF(A69="","",B69+IFERROR(SUMIFS(tblCompras[CANTIDAD],tblCompras[PRODUCTO],A69),0)-IFERROR(SUMIFS(#REF!,#REF!,A69),0))</f>
        <v>1</v>
      </c>
      <c r="J69" s="16">
        <f t="shared" si="5"/>
        <v>3412.8</v>
      </c>
      <c r="K69" s="21" t="str">
        <f t="shared" si="6"/>
        <v/>
      </c>
    </row>
    <row r="70" spans="1:11" ht="15" customHeight="1" thickBot="1" x14ac:dyDescent="0.35">
      <c r="A70" s="33" t="s">
        <v>132</v>
      </c>
      <c r="B70" s="15">
        <v>0</v>
      </c>
      <c r="C70" s="20">
        <v>0</v>
      </c>
      <c r="D70" s="20">
        <v>0</v>
      </c>
      <c r="E70" s="16">
        <v>3412.8</v>
      </c>
      <c r="F70" s="14" t="s">
        <v>129</v>
      </c>
      <c r="G70" s="16"/>
      <c r="H70" s="15">
        <v>0</v>
      </c>
      <c r="I70" s="15">
        <f>IF(A70="","",B70+IFERROR(SUMIFS(tblCompras[CANTIDAD],tblCompras[PRODUCTO],A70),0)-IFERROR(SUMIFS(#REF!,#REF!,A70),0))</f>
        <v>0</v>
      </c>
      <c r="J70" s="16">
        <f t="shared" si="5"/>
        <v>0</v>
      </c>
      <c r="K70" s="21" t="str">
        <f t="shared" si="6"/>
        <v/>
      </c>
    </row>
    <row r="71" spans="1:11" ht="15" customHeight="1" thickBot="1" x14ac:dyDescent="0.35">
      <c r="A71" s="32" t="s">
        <v>133</v>
      </c>
      <c r="B71" s="15">
        <v>0</v>
      </c>
      <c r="C71" s="20">
        <v>0</v>
      </c>
      <c r="D71" s="20">
        <v>0</v>
      </c>
      <c r="E71" s="16">
        <v>3412.8</v>
      </c>
      <c r="F71" s="14" t="s">
        <v>129</v>
      </c>
      <c r="G71" s="16"/>
      <c r="H71" s="15">
        <v>0</v>
      </c>
      <c r="I71" s="15">
        <f>IF(A71="","",B71+IFERROR(SUMIFS(tblCompras[CANTIDAD],tblCompras[PRODUCTO],A71),0)-IFERROR(SUMIFS(#REF!,#REF!,A71),0))</f>
        <v>0</v>
      </c>
      <c r="J71" s="16">
        <f t="shared" si="5"/>
        <v>0</v>
      </c>
      <c r="K71" s="21" t="str">
        <f t="shared" si="6"/>
        <v/>
      </c>
    </row>
    <row r="72" spans="1:11" ht="15" customHeight="1" thickBot="1" x14ac:dyDescent="0.35">
      <c r="A72" s="32" t="s">
        <v>134</v>
      </c>
      <c r="B72" s="15">
        <v>1</v>
      </c>
      <c r="C72" s="20">
        <v>0</v>
      </c>
      <c r="D72" s="20">
        <v>0</v>
      </c>
      <c r="E72" s="16">
        <v>3412.8</v>
      </c>
      <c r="F72" s="14" t="s">
        <v>129</v>
      </c>
      <c r="G72" s="16"/>
      <c r="H72" s="15">
        <v>0</v>
      </c>
      <c r="I72" s="15">
        <f>IF(A72="","",B72+IFERROR(SUMIFS(tblCompras[CANTIDAD],tblCompras[PRODUCTO],A72),0)-IFERROR(SUMIFS(#REF!,#REF!,A72),0))</f>
        <v>1</v>
      </c>
      <c r="J72" s="16">
        <f t="shared" si="5"/>
        <v>3412.8</v>
      </c>
      <c r="K72" s="21" t="str">
        <f t="shared" si="6"/>
        <v/>
      </c>
    </row>
    <row r="73" spans="1:11" ht="15" customHeight="1" thickBot="1" x14ac:dyDescent="0.35">
      <c r="A73" s="31" t="s">
        <v>135</v>
      </c>
      <c r="B73" s="15">
        <v>2</v>
      </c>
      <c r="C73" s="20">
        <v>0</v>
      </c>
      <c r="D73" s="20">
        <v>0</v>
      </c>
      <c r="E73" s="16">
        <v>3412.8</v>
      </c>
      <c r="F73" s="14" t="s">
        <v>129</v>
      </c>
      <c r="G73" s="16"/>
      <c r="H73" s="15">
        <v>0</v>
      </c>
      <c r="I73" s="15">
        <f>IF(A73="","",B73+IFERROR(SUMIFS(tblCompras[CANTIDAD],tblCompras[PRODUCTO],A73),0)-IFERROR(SUMIFS(#REF!,#REF!,A73),0))</f>
        <v>2</v>
      </c>
      <c r="J73" s="16">
        <f t="shared" si="5"/>
        <v>6825.6</v>
      </c>
      <c r="K73" s="21" t="str">
        <f t="shared" si="6"/>
        <v/>
      </c>
    </row>
    <row r="74" spans="1:11" ht="15" customHeight="1" thickBot="1" x14ac:dyDescent="0.35">
      <c r="A74" s="31" t="s">
        <v>136</v>
      </c>
      <c r="B74" s="15">
        <v>1</v>
      </c>
      <c r="C74" s="20">
        <v>0</v>
      </c>
      <c r="D74" s="20">
        <v>0</v>
      </c>
      <c r="E74" s="16">
        <v>3412.8</v>
      </c>
      <c r="F74" s="14" t="s">
        <v>129</v>
      </c>
      <c r="G74" s="16"/>
      <c r="H74" s="15">
        <v>0</v>
      </c>
      <c r="I74" s="15">
        <f>IF(A74="","",B74+IFERROR(SUMIFS(tblCompras[CANTIDAD],tblCompras[PRODUCTO],A74),0)-IFERROR(SUMIFS(#REF!,#REF!,A74),0))</f>
        <v>1</v>
      </c>
      <c r="J74" s="16">
        <f t="shared" si="5"/>
        <v>3412.8</v>
      </c>
      <c r="K74" s="21" t="str">
        <f t="shared" si="6"/>
        <v/>
      </c>
    </row>
    <row r="75" spans="1:11" ht="15" customHeight="1" thickBot="1" x14ac:dyDescent="0.35">
      <c r="A75" s="31" t="s">
        <v>137</v>
      </c>
      <c r="B75" s="15">
        <v>3</v>
      </c>
      <c r="C75" s="20">
        <v>0</v>
      </c>
      <c r="D75" s="20">
        <v>0</v>
      </c>
      <c r="E75" s="16">
        <v>3412.8</v>
      </c>
      <c r="F75" s="14" t="s">
        <v>129</v>
      </c>
      <c r="G75" s="16"/>
      <c r="H75" s="15">
        <v>0</v>
      </c>
      <c r="I75" s="15">
        <f>IF(A75="","",B75+IFERROR(SUMIFS(tblCompras[CANTIDAD],tblCompras[PRODUCTO],A75),0)-IFERROR(SUMIFS(#REF!,#REF!,A75),0))</f>
        <v>3</v>
      </c>
      <c r="J75" s="16">
        <f t="shared" si="5"/>
        <v>10238.400000000001</v>
      </c>
      <c r="K75" s="21" t="str">
        <f t="shared" si="6"/>
        <v/>
      </c>
    </row>
    <row r="76" spans="1:11" ht="15" customHeight="1" thickBot="1" x14ac:dyDescent="0.35">
      <c r="A76" s="32" t="s">
        <v>138</v>
      </c>
      <c r="B76" s="15">
        <v>0</v>
      </c>
      <c r="C76" s="20">
        <v>0</v>
      </c>
      <c r="D76" s="20">
        <v>0</v>
      </c>
      <c r="E76" s="16">
        <v>3412.8</v>
      </c>
      <c r="F76" s="14" t="s">
        <v>129</v>
      </c>
      <c r="G76" s="16"/>
      <c r="H76" s="15">
        <v>0</v>
      </c>
      <c r="I76" s="15">
        <f>IF(A76="","",B76+IFERROR(SUMIFS(tblCompras[CANTIDAD],tblCompras[PRODUCTO],A76),0)-IFERROR(SUMIFS(#REF!,#REF!,A76),0))</f>
        <v>0</v>
      </c>
      <c r="J76" s="16">
        <f t="shared" si="5"/>
        <v>0</v>
      </c>
      <c r="K76" s="21" t="str">
        <f t="shared" si="6"/>
        <v/>
      </c>
    </row>
    <row r="77" spans="1:11" ht="15" customHeight="1" thickBot="1" x14ac:dyDescent="0.35">
      <c r="A77" s="31" t="s">
        <v>139</v>
      </c>
      <c r="B77" s="15">
        <v>2</v>
      </c>
      <c r="C77" s="20">
        <v>0</v>
      </c>
      <c r="D77" s="20">
        <v>0</v>
      </c>
      <c r="E77" s="16">
        <v>3412.8</v>
      </c>
      <c r="F77" s="14" t="s">
        <v>129</v>
      </c>
      <c r="G77" s="16"/>
      <c r="H77" s="15">
        <v>0</v>
      </c>
      <c r="I77" s="15">
        <f>IF(A77="","",B77+IFERROR(SUMIFS(tblCompras[CANTIDAD],tblCompras[PRODUCTO],A77),0)-IFERROR(SUMIFS(#REF!,#REF!,A77),0))</f>
        <v>2</v>
      </c>
      <c r="J77" s="16">
        <f t="shared" si="5"/>
        <v>6825.6</v>
      </c>
      <c r="K77" s="21" t="str">
        <f t="shared" si="6"/>
        <v/>
      </c>
    </row>
    <row r="78" spans="1:11" ht="15" customHeight="1" thickBot="1" x14ac:dyDescent="0.35">
      <c r="A78" s="31" t="s">
        <v>140</v>
      </c>
      <c r="B78" s="15">
        <v>1</v>
      </c>
      <c r="C78" s="20">
        <v>0</v>
      </c>
      <c r="D78" s="20">
        <v>0</v>
      </c>
      <c r="E78" s="16">
        <v>3412.8</v>
      </c>
      <c r="F78" s="14" t="s">
        <v>129</v>
      </c>
      <c r="G78" s="16"/>
      <c r="H78" s="15">
        <v>0</v>
      </c>
      <c r="I78" s="15">
        <f>IF(A78="","",B78+IFERROR(SUMIFS(tblCompras[CANTIDAD],tblCompras[PRODUCTO],A78),0)-IFERROR(SUMIFS(#REF!,#REF!,A78),0))</f>
        <v>1</v>
      </c>
      <c r="J78" s="16">
        <f t="shared" si="5"/>
        <v>3412.8</v>
      </c>
      <c r="K78" s="21" t="str">
        <f t="shared" si="6"/>
        <v/>
      </c>
    </row>
    <row r="79" spans="1:11" ht="15" customHeight="1" thickBot="1" x14ac:dyDescent="0.35">
      <c r="A79" s="33" t="s">
        <v>141</v>
      </c>
      <c r="B79" s="15">
        <v>0</v>
      </c>
      <c r="C79" s="20">
        <v>0</v>
      </c>
      <c r="D79" s="20">
        <v>0</v>
      </c>
      <c r="E79" s="16">
        <v>3412.8</v>
      </c>
      <c r="F79" s="14" t="s">
        <v>129</v>
      </c>
      <c r="G79" s="16"/>
      <c r="H79" s="15">
        <v>0</v>
      </c>
      <c r="I79" s="15">
        <f>IF(A79="","",B79+IFERROR(SUMIFS(tblCompras[CANTIDAD],tblCompras[PRODUCTO],A79),0)-IFERROR(SUMIFS(#REF!,#REF!,A79),0))</f>
        <v>0</v>
      </c>
      <c r="J79" s="16">
        <f t="shared" si="5"/>
        <v>0</v>
      </c>
      <c r="K79" s="21" t="str">
        <f t="shared" si="6"/>
        <v/>
      </c>
    </row>
    <row r="80" spans="1:11" ht="15" customHeight="1" thickBot="1" x14ac:dyDescent="0.35">
      <c r="A80" s="31" t="s">
        <v>142</v>
      </c>
      <c r="B80" s="15">
        <v>1</v>
      </c>
      <c r="C80" s="20">
        <v>0</v>
      </c>
      <c r="D80" s="20">
        <v>0</v>
      </c>
      <c r="E80" s="16">
        <v>3412.8</v>
      </c>
      <c r="F80" s="14" t="s">
        <v>129</v>
      </c>
      <c r="G80" s="16"/>
      <c r="H80" s="15">
        <v>0</v>
      </c>
      <c r="I80" s="15">
        <f>IF(A80="","",B80+IFERROR(SUMIFS(tblCompras[CANTIDAD],tblCompras[PRODUCTO],A80),0)-IFERROR(SUMIFS(#REF!,#REF!,A80),0))</f>
        <v>1</v>
      </c>
      <c r="J80" s="16">
        <f t="shared" si="5"/>
        <v>3412.8</v>
      </c>
      <c r="K80" s="21" t="str">
        <f t="shared" si="6"/>
        <v/>
      </c>
    </row>
    <row r="81" spans="1:11" ht="15" customHeight="1" thickBot="1" x14ac:dyDescent="0.35">
      <c r="A81" s="33" t="s">
        <v>143</v>
      </c>
      <c r="B81" s="34">
        <v>0</v>
      </c>
      <c r="C81" s="20">
        <v>0</v>
      </c>
      <c r="D81" s="20">
        <v>0</v>
      </c>
      <c r="E81" s="16">
        <v>3412.8</v>
      </c>
      <c r="F81" s="14" t="s">
        <v>129</v>
      </c>
      <c r="G81" s="16"/>
      <c r="H81" s="15">
        <v>0</v>
      </c>
      <c r="I81" s="15">
        <f>IF(A81="","",B81+IFERROR(SUMIFS(tblCompras[CANTIDAD],tblCompras[PRODUCTO],A81),0)-IFERROR(SUMIFS(#REF!,#REF!,A81),0))</f>
        <v>0</v>
      </c>
      <c r="J81" s="16">
        <f t="shared" si="5"/>
        <v>0</v>
      </c>
      <c r="K81" s="21" t="str">
        <f t="shared" si="6"/>
        <v/>
      </c>
    </row>
    <row r="82" spans="1:11" ht="15" customHeight="1" thickBot="1" x14ac:dyDescent="0.35">
      <c r="A82" s="31" t="s">
        <v>144</v>
      </c>
      <c r="B82" s="15">
        <v>1</v>
      </c>
      <c r="C82" s="20">
        <v>0</v>
      </c>
      <c r="D82" s="20">
        <v>0</v>
      </c>
      <c r="E82" s="16">
        <v>3412.8</v>
      </c>
      <c r="F82" s="14" t="s">
        <v>129</v>
      </c>
      <c r="G82" s="16"/>
      <c r="H82" s="15">
        <v>0</v>
      </c>
      <c r="I82" s="15">
        <f>IF(A82="","",B82+IFERROR(SUMIFS(tblCompras[CANTIDAD],tblCompras[PRODUCTO],A82),0)-IFERROR(SUMIFS(#REF!,#REF!,A82),0))</f>
        <v>1</v>
      </c>
      <c r="J82" s="16">
        <f t="shared" si="5"/>
        <v>3412.8</v>
      </c>
      <c r="K82" s="21" t="str">
        <f t="shared" si="6"/>
        <v/>
      </c>
    </row>
    <row r="83" spans="1:11" ht="15" customHeight="1" thickBot="1" x14ac:dyDescent="0.35">
      <c r="A83" s="31" t="s">
        <v>145</v>
      </c>
      <c r="B83" s="15">
        <v>1</v>
      </c>
      <c r="C83" s="20">
        <v>0</v>
      </c>
      <c r="D83" s="20">
        <v>0</v>
      </c>
      <c r="E83" s="16">
        <v>3412.8</v>
      </c>
      <c r="F83" s="14" t="s">
        <v>129</v>
      </c>
      <c r="G83" s="16"/>
      <c r="H83" s="15">
        <v>0</v>
      </c>
      <c r="I83" s="15">
        <f>IF(A83="","",B83+IFERROR(SUMIFS(tblCompras[CANTIDAD],tblCompras[PRODUCTO],A83),0)-IFERROR(SUMIFS(#REF!,#REF!,A83),0))</f>
        <v>1</v>
      </c>
      <c r="J83" s="16">
        <f t="shared" si="5"/>
        <v>3412.8</v>
      </c>
      <c r="K83" s="21" t="str">
        <f t="shared" si="6"/>
        <v/>
      </c>
    </row>
    <row r="84" spans="1:11" ht="15" customHeight="1" thickBot="1" x14ac:dyDescent="0.35">
      <c r="A84" s="32" t="s">
        <v>146</v>
      </c>
      <c r="B84" s="15">
        <v>0</v>
      </c>
      <c r="C84" s="20">
        <v>0</v>
      </c>
      <c r="D84" s="20">
        <v>0</v>
      </c>
      <c r="E84" s="16">
        <v>3412.8</v>
      </c>
      <c r="F84" s="14" t="s">
        <v>129</v>
      </c>
      <c r="G84" s="16"/>
      <c r="H84" s="15">
        <v>0</v>
      </c>
      <c r="I84" s="15">
        <f>IF(A84="","",B84+IFERROR(SUMIFS(tblCompras[CANTIDAD],tblCompras[PRODUCTO],A84),0)-IFERROR(SUMIFS(#REF!,#REF!,A84),0))</f>
        <v>0</v>
      </c>
      <c r="J84" s="16">
        <f t="shared" si="5"/>
        <v>0</v>
      </c>
      <c r="K84" s="21" t="str">
        <f t="shared" si="6"/>
        <v/>
      </c>
    </row>
    <row r="85" spans="1:11" ht="15" customHeight="1" thickBot="1" x14ac:dyDescent="0.35">
      <c r="A85" s="31" t="s">
        <v>147</v>
      </c>
      <c r="B85" s="15">
        <v>1</v>
      </c>
      <c r="C85" s="20">
        <v>0</v>
      </c>
      <c r="D85" s="20">
        <v>0</v>
      </c>
      <c r="E85" s="16">
        <v>3412.8</v>
      </c>
      <c r="F85" s="14" t="s">
        <v>129</v>
      </c>
      <c r="G85" s="16"/>
      <c r="H85" s="15">
        <v>0</v>
      </c>
      <c r="I85" s="15">
        <f>IF(A85="","",B85+IFERROR(SUMIFS(tblCompras[CANTIDAD],tblCompras[PRODUCTO],A85),0)-IFERROR(SUMIFS(#REF!,#REF!,A85),0))</f>
        <v>1</v>
      </c>
      <c r="J85" s="16">
        <f t="shared" si="5"/>
        <v>3412.8</v>
      </c>
      <c r="K85" s="21" t="str">
        <f t="shared" si="6"/>
        <v/>
      </c>
    </row>
    <row r="86" spans="1:11" ht="15" customHeight="1" thickBot="1" x14ac:dyDescent="0.35">
      <c r="A86" s="33" t="s">
        <v>148</v>
      </c>
      <c r="B86" s="15">
        <v>0</v>
      </c>
      <c r="C86" s="20">
        <v>0</v>
      </c>
      <c r="D86" s="20">
        <v>0</v>
      </c>
      <c r="E86" s="16">
        <v>3412.8</v>
      </c>
      <c r="F86" s="14" t="s">
        <v>129</v>
      </c>
      <c r="G86" s="16"/>
      <c r="H86" s="15">
        <v>0</v>
      </c>
      <c r="I86" s="15">
        <f>IF(A86="","",B86+IFERROR(SUMIFS(tblCompras[CANTIDAD],tblCompras[PRODUCTO],A86),0)-IFERROR(SUMIFS(#REF!,#REF!,A86),0))</f>
        <v>0</v>
      </c>
      <c r="J86" s="16">
        <f t="shared" si="5"/>
        <v>0</v>
      </c>
      <c r="K86" s="21" t="str">
        <f t="shared" si="6"/>
        <v/>
      </c>
    </row>
    <row r="87" spans="1:11" ht="15" customHeight="1" thickBot="1" x14ac:dyDescent="0.35">
      <c r="A87" s="32" t="s">
        <v>149</v>
      </c>
      <c r="B87" s="15">
        <v>0</v>
      </c>
      <c r="C87" s="20">
        <v>0</v>
      </c>
      <c r="D87" s="20">
        <v>0</v>
      </c>
      <c r="E87" s="16">
        <v>3412.8</v>
      </c>
      <c r="F87" s="14" t="s">
        <v>129</v>
      </c>
      <c r="G87" s="16"/>
      <c r="H87" s="15">
        <v>0</v>
      </c>
      <c r="I87" s="15">
        <f>IF(A87="","",B87+IFERROR(SUMIFS(tblCompras[CANTIDAD],tblCompras[PRODUCTO],A87),0)-IFERROR(SUMIFS(#REF!,#REF!,A87),0))</f>
        <v>0</v>
      </c>
      <c r="J87" s="16">
        <f t="shared" si="5"/>
        <v>0</v>
      </c>
      <c r="K87" s="21" t="str">
        <f t="shared" si="6"/>
        <v/>
      </c>
    </row>
    <row r="88" spans="1:11" ht="15" customHeight="1" thickBot="1" x14ac:dyDescent="0.35">
      <c r="A88" s="32" t="s">
        <v>150</v>
      </c>
      <c r="B88" s="15">
        <v>0</v>
      </c>
      <c r="C88" s="20">
        <v>0</v>
      </c>
      <c r="D88" s="20">
        <v>0</v>
      </c>
      <c r="E88" s="16">
        <v>3412.8</v>
      </c>
      <c r="F88" s="14" t="s">
        <v>129</v>
      </c>
      <c r="G88" s="16"/>
      <c r="H88" s="15">
        <v>0</v>
      </c>
      <c r="I88" s="15">
        <f>IF(A88="","",B88+IFERROR(SUMIFS(tblCompras[CANTIDAD],tblCompras[PRODUCTO],A88),0)-IFERROR(SUMIFS(#REF!,#REF!,A88),0))</f>
        <v>0</v>
      </c>
      <c r="J88" s="16">
        <f t="shared" si="5"/>
        <v>0</v>
      </c>
      <c r="K88" s="21" t="str">
        <f t="shared" si="6"/>
        <v/>
      </c>
    </row>
    <row r="89" spans="1:11" ht="15" customHeight="1" thickBot="1" x14ac:dyDescent="0.35">
      <c r="A89" s="32" t="s">
        <v>151</v>
      </c>
      <c r="B89" s="15">
        <v>0</v>
      </c>
      <c r="C89" s="20">
        <v>0</v>
      </c>
      <c r="D89" s="20">
        <v>0</v>
      </c>
      <c r="E89" s="16">
        <v>3412.8</v>
      </c>
      <c r="F89" s="14" t="s">
        <v>129</v>
      </c>
      <c r="G89" s="16"/>
      <c r="H89" s="15">
        <v>0</v>
      </c>
      <c r="I89" s="15">
        <f>IF(A89="","",B89+IFERROR(SUMIFS(tblCompras[CANTIDAD],tblCompras[PRODUCTO],A89),0)-IFERROR(SUMIFS(#REF!,#REF!,A89),0))</f>
        <v>0</v>
      </c>
      <c r="J89" s="16">
        <f t="shared" si="5"/>
        <v>0</v>
      </c>
      <c r="K89" s="21" t="str">
        <f t="shared" si="6"/>
        <v/>
      </c>
    </row>
    <row r="90" spans="1:11" ht="15" customHeight="1" thickBot="1" x14ac:dyDescent="0.35">
      <c r="A90" s="32" t="s">
        <v>152</v>
      </c>
      <c r="B90" s="15">
        <v>0</v>
      </c>
      <c r="C90" s="20">
        <v>0</v>
      </c>
      <c r="D90" s="20">
        <v>0</v>
      </c>
      <c r="E90" s="16">
        <v>3412.8</v>
      </c>
      <c r="F90" s="14" t="s">
        <v>129</v>
      </c>
      <c r="G90" s="16"/>
      <c r="H90" s="15">
        <v>0</v>
      </c>
      <c r="I90" s="15">
        <f>IF(A90="","",B90+IFERROR(SUMIFS(tblCompras[CANTIDAD],tblCompras[PRODUCTO],A90),0)-IFERROR(SUMIFS(#REF!,#REF!,A90),0))</f>
        <v>0</v>
      </c>
      <c r="J90" s="16">
        <f t="shared" si="5"/>
        <v>0</v>
      </c>
      <c r="K90" s="21" t="str">
        <f t="shared" si="6"/>
        <v/>
      </c>
    </row>
  </sheetData>
  <conditionalFormatting sqref="A2:K500">
    <cfRule type="expression" dxfId="1" priority="1">
      <formula>AND($I2&lt;&gt;"",$I2&lt;$H2)</formula>
    </cfRule>
  </conditionalFormatting>
  <conditionalFormatting sqref="I2:I90">
    <cfRule type="cellIs" dxfId="0" priority="2" operator="lessThan">
      <formula>10</formula>
    </cfRule>
  </conditionalFormatting>
  <dataValidations count="1">
    <dataValidation type="list" allowBlank="1" sqref="F2:F500" xr:uid="{00000000-0002-0000-0600-000000000000}">
      <formula1>lstCategorias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98"/>
  <sheetViews>
    <sheetView showGridLines="0" tabSelected="1" workbookViewId="0">
      <pane ySplit="1" topLeftCell="A2" activePane="bottomLeft" state="frozen"/>
      <selection pane="bottomLeft" activeCell="C3" sqref="C3"/>
    </sheetView>
  </sheetViews>
  <sheetFormatPr baseColWidth="10" defaultRowHeight="14.4" x14ac:dyDescent="0.3"/>
  <cols>
    <col min="1" max="1" width="10" customWidth="1"/>
    <col min="2" max="2" width="19.21875" bestFit="1" customWidth="1"/>
    <col min="3" max="3" width="16.77734375" bestFit="1" customWidth="1"/>
    <col min="4" max="4" width="18" customWidth="1"/>
    <col min="5" max="6" width="22" customWidth="1"/>
    <col min="7" max="7" width="10" customWidth="1"/>
  </cols>
  <sheetData>
    <row r="1" spans="1:7" x14ac:dyDescent="0.3">
      <c r="A1" s="12" t="s">
        <v>153</v>
      </c>
      <c r="B1" s="12" t="s">
        <v>154</v>
      </c>
      <c r="C1" s="12" t="s">
        <v>155</v>
      </c>
      <c r="D1" s="12" t="s">
        <v>156</v>
      </c>
      <c r="E1" s="12" t="s">
        <v>157</v>
      </c>
      <c r="F1" s="12" t="s">
        <v>30</v>
      </c>
      <c r="G1" s="12" t="s">
        <v>158</v>
      </c>
    </row>
    <row r="2" spans="1:7" x14ac:dyDescent="0.3">
      <c r="A2" s="14" t="s">
        <v>159</v>
      </c>
      <c r="B2" s="35" t="s">
        <v>217</v>
      </c>
      <c r="C2" s="42" t="s">
        <v>218</v>
      </c>
      <c r="D2" s="14" t="s">
        <v>219</v>
      </c>
      <c r="E2" s="14"/>
      <c r="F2" s="14"/>
      <c r="G2" s="14" t="s">
        <v>160</v>
      </c>
    </row>
    <row r="3" spans="1:7" x14ac:dyDescent="0.3">
      <c r="A3" s="14" t="s">
        <v>161</v>
      </c>
      <c r="B3" s="14" t="s">
        <v>814</v>
      </c>
      <c r="C3" s="43" t="s">
        <v>815</v>
      </c>
      <c r="D3" s="44" t="s">
        <v>816</v>
      </c>
      <c r="E3" s="14"/>
      <c r="F3" s="14"/>
      <c r="G3" s="14" t="s">
        <v>160</v>
      </c>
    </row>
    <row r="4" spans="1:7" x14ac:dyDescent="0.3">
      <c r="A4" s="14" t="s">
        <v>162</v>
      </c>
      <c r="B4" s="14" t="s">
        <v>817</v>
      </c>
      <c r="C4" s="43" t="s">
        <v>818</v>
      </c>
      <c r="D4" s="14"/>
      <c r="E4" s="14"/>
      <c r="F4" s="14"/>
      <c r="G4" s="14" t="s">
        <v>160</v>
      </c>
    </row>
    <row r="5" spans="1:7" x14ac:dyDescent="0.3">
      <c r="A5" s="14" t="s">
        <v>220</v>
      </c>
    </row>
    <row r="6" spans="1:7" x14ac:dyDescent="0.3">
      <c r="A6" s="14" t="s">
        <v>221</v>
      </c>
    </row>
    <row r="7" spans="1:7" x14ac:dyDescent="0.3">
      <c r="A7" s="14" t="s">
        <v>222</v>
      </c>
    </row>
    <row r="8" spans="1:7" x14ac:dyDescent="0.3">
      <c r="A8" s="14" t="s">
        <v>223</v>
      </c>
    </row>
    <row r="9" spans="1:7" x14ac:dyDescent="0.3">
      <c r="A9" s="14" t="s">
        <v>224</v>
      </c>
    </row>
    <row r="10" spans="1:7" x14ac:dyDescent="0.3">
      <c r="A10" s="14" t="s">
        <v>225</v>
      </c>
    </row>
    <row r="11" spans="1:7" x14ac:dyDescent="0.3">
      <c r="A11" s="14" t="s">
        <v>226</v>
      </c>
    </row>
    <row r="12" spans="1:7" x14ac:dyDescent="0.3">
      <c r="A12" s="14" t="s">
        <v>227</v>
      </c>
    </row>
    <row r="13" spans="1:7" x14ac:dyDescent="0.3">
      <c r="A13" s="14" t="s">
        <v>228</v>
      </c>
    </row>
    <row r="14" spans="1:7" x14ac:dyDescent="0.3">
      <c r="A14" s="14" t="s">
        <v>229</v>
      </c>
    </row>
    <row r="15" spans="1:7" x14ac:dyDescent="0.3">
      <c r="A15" s="14" t="s">
        <v>230</v>
      </c>
    </row>
    <row r="16" spans="1:7" x14ac:dyDescent="0.3">
      <c r="A16" s="14" t="s">
        <v>231</v>
      </c>
    </row>
    <row r="17" spans="1:1" x14ac:dyDescent="0.3">
      <c r="A17" s="14" t="s">
        <v>232</v>
      </c>
    </row>
    <row r="18" spans="1:1" x14ac:dyDescent="0.3">
      <c r="A18" s="14" t="s">
        <v>233</v>
      </c>
    </row>
    <row r="19" spans="1:1" x14ac:dyDescent="0.3">
      <c r="A19" s="14" t="s">
        <v>234</v>
      </c>
    </row>
    <row r="20" spans="1:1" x14ac:dyDescent="0.3">
      <c r="A20" s="14" t="s">
        <v>235</v>
      </c>
    </row>
    <row r="21" spans="1:1" x14ac:dyDescent="0.3">
      <c r="A21" s="14" t="s">
        <v>236</v>
      </c>
    </row>
    <row r="22" spans="1:1" x14ac:dyDescent="0.3">
      <c r="A22" s="14" t="s">
        <v>237</v>
      </c>
    </row>
    <row r="23" spans="1:1" x14ac:dyDescent="0.3">
      <c r="A23" s="14" t="s">
        <v>238</v>
      </c>
    </row>
    <row r="24" spans="1:1" x14ac:dyDescent="0.3">
      <c r="A24" s="14" t="s">
        <v>239</v>
      </c>
    </row>
    <row r="25" spans="1:1" x14ac:dyDescent="0.3">
      <c r="A25" s="14" t="s">
        <v>240</v>
      </c>
    </row>
    <row r="26" spans="1:1" x14ac:dyDescent="0.3">
      <c r="A26" s="14" t="s">
        <v>241</v>
      </c>
    </row>
    <row r="27" spans="1:1" x14ac:dyDescent="0.3">
      <c r="A27" s="14" t="s">
        <v>242</v>
      </c>
    </row>
    <row r="28" spans="1:1" x14ac:dyDescent="0.3">
      <c r="A28" s="14" t="s">
        <v>243</v>
      </c>
    </row>
    <row r="29" spans="1:1" x14ac:dyDescent="0.3">
      <c r="A29" s="14" t="s">
        <v>244</v>
      </c>
    </row>
    <row r="30" spans="1:1" x14ac:dyDescent="0.3">
      <c r="A30" s="14" t="s">
        <v>245</v>
      </c>
    </row>
    <row r="31" spans="1:1" x14ac:dyDescent="0.3">
      <c r="A31" s="14" t="s">
        <v>246</v>
      </c>
    </row>
    <row r="32" spans="1:1" x14ac:dyDescent="0.3">
      <c r="A32" s="14" t="s">
        <v>247</v>
      </c>
    </row>
    <row r="33" spans="1:1" x14ac:dyDescent="0.3">
      <c r="A33" s="14" t="s">
        <v>248</v>
      </c>
    </row>
    <row r="34" spans="1:1" x14ac:dyDescent="0.3">
      <c r="A34" s="14" t="s">
        <v>249</v>
      </c>
    </row>
    <row r="35" spans="1:1" x14ac:dyDescent="0.3">
      <c r="A35" s="14" t="s">
        <v>250</v>
      </c>
    </row>
    <row r="36" spans="1:1" x14ac:dyDescent="0.3">
      <c r="A36" s="14" t="s">
        <v>251</v>
      </c>
    </row>
    <row r="37" spans="1:1" x14ac:dyDescent="0.3">
      <c r="A37" s="14" t="s">
        <v>252</v>
      </c>
    </row>
    <row r="38" spans="1:1" x14ac:dyDescent="0.3">
      <c r="A38" s="14" t="s">
        <v>253</v>
      </c>
    </row>
    <row r="39" spans="1:1" x14ac:dyDescent="0.3">
      <c r="A39" s="14" t="s">
        <v>254</v>
      </c>
    </row>
    <row r="40" spans="1:1" x14ac:dyDescent="0.3">
      <c r="A40" s="14" t="s">
        <v>255</v>
      </c>
    </row>
    <row r="41" spans="1:1" x14ac:dyDescent="0.3">
      <c r="A41" s="14" t="s">
        <v>256</v>
      </c>
    </row>
    <row r="42" spans="1:1" x14ac:dyDescent="0.3">
      <c r="A42" s="14" t="s">
        <v>257</v>
      </c>
    </row>
    <row r="43" spans="1:1" x14ac:dyDescent="0.3">
      <c r="A43" s="14" t="s">
        <v>258</v>
      </c>
    </row>
    <row r="44" spans="1:1" x14ac:dyDescent="0.3">
      <c r="A44" s="14" t="s">
        <v>259</v>
      </c>
    </row>
    <row r="45" spans="1:1" x14ac:dyDescent="0.3">
      <c r="A45" s="14" t="s">
        <v>260</v>
      </c>
    </row>
    <row r="46" spans="1:1" x14ac:dyDescent="0.3">
      <c r="A46" s="14" t="s">
        <v>261</v>
      </c>
    </row>
    <row r="47" spans="1:1" x14ac:dyDescent="0.3">
      <c r="A47" s="14" t="s">
        <v>262</v>
      </c>
    </row>
    <row r="48" spans="1:1" x14ac:dyDescent="0.3">
      <c r="A48" s="14" t="s">
        <v>263</v>
      </c>
    </row>
    <row r="49" spans="1:1" x14ac:dyDescent="0.3">
      <c r="A49" s="14" t="s">
        <v>264</v>
      </c>
    </row>
    <row r="50" spans="1:1" x14ac:dyDescent="0.3">
      <c r="A50" s="14" t="s">
        <v>265</v>
      </c>
    </row>
    <row r="51" spans="1:1" x14ac:dyDescent="0.3">
      <c r="A51" s="14" t="s">
        <v>266</v>
      </c>
    </row>
    <row r="52" spans="1:1" x14ac:dyDescent="0.3">
      <c r="A52" s="14" t="s">
        <v>267</v>
      </c>
    </row>
    <row r="53" spans="1:1" x14ac:dyDescent="0.3">
      <c r="A53" s="14" t="s">
        <v>268</v>
      </c>
    </row>
    <row r="54" spans="1:1" x14ac:dyDescent="0.3">
      <c r="A54" s="14" t="s">
        <v>269</v>
      </c>
    </row>
    <row r="55" spans="1:1" x14ac:dyDescent="0.3">
      <c r="A55" s="14" t="s">
        <v>270</v>
      </c>
    </row>
    <row r="56" spans="1:1" x14ac:dyDescent="0.3">
      <c r="A56" s="14" t="s">
        <v>271</v>
      </c>
    </row>
    <row r="57" spans="1:1" x14ac:dyDescent="0.3">
      <c r="A57" s="14" t="s">
        <v>272</v>
      </c>
    </row>
    <row r="58" spans="1:1" x14ac:dyDescent="0.3">
      <c r="A58" s="14" t="s">
        <v>273</v>
      </c>
    </row>
    <row r="59" spans="1:1" x14ac:dyDescent="0.3">
      <c r="A59" s="14" t="s">
        <v>274</v>
      </c>
    </row>
    <row r="60" spans="1:1" x14ac:dyDescent="0.3">
      <c r="A60" s="14" t="s">
        <v>275</v>
      </c>
    </row>
    <row r="61" spans="1:1" x14ac:dyDescent="0.3">
      <c r="A61" s="14" t="s">
        <v>276</v>
      </c>
    </row>
    <row r="62" spans="1:1" x14ac:dyDescent="0.3">
      <c r="A62" s="14" t="s">
        <v>277</v>
      </c>
    </row>
    <row r="63" spans="1:1" x14ac:dyDescent="0.3">
      <c r="A63" s="14" t="s">
        <v>278</v>
      </c>
    </row>
    <row r="64" spans="1:1" x14ac:dyDescent="0.3">
      <c r="A64" s="14" t="s">
        <v>279</v>
      </c>
    </row>
    <row r="65" spans="1:1" x14ac:dyDescent="0.3">
      <c r="A65" s="14" t="s">
        <v>280</v>
      </c>
    </row>
    <row r="66" spans="1:1" x14ac:dyDescent="0.3">
      <c r="A66" s="14" t="s">
        <v>281</v>
      </c>
    </row>
    <row r="67" spans="1:1" x14ac:dyDescent="0.3">
      <c r="A67" s="14" t="s">
        <v>282</v>
      </c>
    </row>
    <row r="68" spans="1:1" x14ac:dyDescent="0.3">
      <c r="A68" s="14" t="s">
        <v>283</v>
      </c>
    </row>
    <row r="69" spans="1:1" x14ac:dyDescent="0.3">
      <c r="A69" s="14" t="s">
        <v>284</v>
      </c>
    </row>
    <row r="70" spans="1:1" x14ac:dyDescent="0.3">
      <c r="A70" s="14" t="s">
        <v>285</v>
      </c>
    </row>
    <row r="71" spans="1:1" x14ac:dyDescent="0.3">
      <c r="A71" s="14" t="s">
        <v>286</v>
      </c>
    </row>
    <row r="72" spans="1:1" x14ac:dyDescent="0.3">
      <c r="A72" s="14" t="s">
        <v>287</v>
      </c>
    </row>
    <row r="73" spans="1:1" x14ac:dyDescent="0.3">
      <c r="A73" s="14" t="s">
        <v>288</v>
      </c>
    </row>
    <row r="74" spans="1:1" x14ac:dyDescent="0.3">
      <c r="A74" s="14" t="s">
        <v>289</v>
      </c>
    </row>
    <row r="75" spans="1:1" x14ac:dyDescent="0.3">
      <c r="A75" s="14" t="s">
        <v>290</v>
      </c>
    </row>
    <row r="76" spans="1:1" x14ac:dyDescent="0.3">
      <c r="A76" s="14" t="s">
        <v>291</v>
      </c>
    </row>
    <row r="77" spans="1:1" x14ac:dyDescent="0.3">
      <c r="A77" s="14" t="s">
        <v>292</v>
      </c>
    </row>
    <row r="78" spans="1:1" x14ac:dyDescent="0.3">
      <c r="A78" s="14" t="s">
        <v>293</v>
      </c>
    </row>
    <row r="79" spans="1:1" x14ac:dyDescent="0.3">
      <c r="A79" s="14" t="s">
        <v>294</v>
      </c>
    </row>
    <row r="80" spans="1:1" x14ac:dyDescent="0.3">
      <c r="A80" s="14" t="s">
        <v>295</v>
      </c>
    </row>
    <row r="81" spans="1:1" x14ac:dyDescent="0.3">
      <c r="A81" s="14" t="s">
        <v>296</v>
      </c>
    </row>
    <row r="82" spans="1:1" x14ac:dyDescent="0.3">
      <c r="A82" s="14" t="s">
        <v>297</v>
      </c>
    </row>
    <row r="83" spans="1:1" x14ac:dyDescent="0.3">
      <c r="A83" s="14" t="s">
        <v>298</v>
      </c>
    </row>
    <row r="84" spans="1:1" x14ac:dyDescent="0.3">
      <c r="A84" s="14" t="s">
        <v>299</v>
      </c>
    </row>
    <row r="85" spans="1:1" x14ac:dyDescent="0.3">
      <c r="A85" s="14" t="s">
        <v>300</v>
      </c>
    </row>
    <row r="86" spans="1:1" x14ac:dyDescent="0.3">
      <c r="A86" s="14" t="s">
        <v>301</v>
      </c>
    </row>
    <row r="87" spans="1:1" x14ac:dyDescent="0.3">
      <c r="A87" s="14" t="s">
        <v>302</v>
      </c>
    </row>
    <row r="88" spans="1:1" x14ac:dyDescent="0.3">
      <c r="A88" s="14" t="s">
        <v>303</v>
      </c>
    </row>
    <row r="89" spans="1:1" x14ac:dyDescent="0.3">
      <c r="A89" s="14" t="s">
        <v>304</v>
      </c>
    </row>
    <row r="90" spans="1:1" x14ac:dyDescent="0.3">
      <c r="A90" s="14" t="s">
        <v>305</v>
      </c>
    </row>
    <row r="91" spans="1:1" x14ac:dyDescent="0.3">
      <c r="A91" s="14" t="s">
        <v>306</v>
      </c>
    </row>
    <row r="92" spans="1:1" x14ac:dyDescent="0.3">
      <c r="A92" s="14" t="s">
        <v>307</v>
      </c>
    </row>
    <row r="93" spans="1:1" x14ac:dyDescent="0.3">
      <c r="A93" s="14" t="s">
        <v>308</v>
      </c>
    </row>
    <row r="94" spans="1:1" x14ac:dyDescent="0.3">
      <c r="A94" s="14" t="s">
        <v>309</v>
      </c>
    </row>
    <row r="95" spans="1:1" x14ac:dyDescent="0.3">
      <c r="A95" s="14" t="s">
        <v>310</v>
      </c>
    </row>
    <row r="96" spans="1:1" x14ac:dyDescent="0.3">
      <c r="A96" s="14" t="s">
        <v>311</v>
      </c>
    </row>
    <row r="97" spans="1:1" x14ac:dyDescent="0.3">
      <c r="A97" s="14" t="s">
        <v>312</v>
      </c>
    </row>
    <row r="98" spans="1:1" x14ac:dyDescent="0.3">
      <c r="A98" s="14" t="s">
        <v>313</v>
      </c>
    </row>
    <row r="99" spans="1:1" x14ac:dyDescent="0.3">
      <c r="A99" s="14" t="s">
        <v>314</v>
      </c>
    </row>
    <row r="100" spans="1:1" x14ac:dyDescent="0.3">
      <c r="A100" s="14" t="s">
        <v>315</v>
      </c>
    </row>
    <row r="101" spans="1:1" x14ac:dyDescent="0.3">
      <c r="A101" s="14" t="s">
        <v>316</v>
      </c>
    </row>
    <row r="102" spans="1:1" x14ac:dyDescent="0.3">
      <c r="A102" s="14" t="s">
        <v>317</v>
      </c>
    </row>
    <row r="103" spans="1:1" x14ac:dyDescent="0.3">
      <c r="A103" s="14" t="s">
        <v>318</v>
      </c>
    </row>
    <row r="104" spans="1:1" x14ac:dyDescent="0.3">
      <c r="A104" s="14" t="s">
        <v>319</v>
      </c>
    </row>
    <row r="105" spans="1:1" x14ac:dyDescent="0.3">
      <c r="A105" s="14" t="s">
        <v>320</v>
      </c>
    </row>
    <row r="106" spans="1:1" x14ac:dyDescent="0.3">
      <c r="A106" s="14" t="s">
        <v>321</v>
      </c>
    </row>
    <row r="107" spans="1:1" x14ac:dyDescent="0.3">
      <c r="A107" s="14" t="s">
        <v>322</v>
      </c>
    </row>
    <row r="108" spans="1:1" x14ac:dyDescent="0.3">
      <c r="A108" s="14" t="s">
        <v>323</v>
      </c>
    </row>
    <row r="109" spans="1:1" x14ac:dyDescent="0.3">
      <c r="A109" s="14" t="s">
        <v>324</v>
      </c>
    </row>
    <row r="110" spans="1:1" x14ac:dyDescent="0.3">
      <c r="A110" s="14" t="s">
        <v>325</v>
      </c>
    </row>
    <row r="111" spans="1:1" x14ac:dyDescent="0.3">
      <c r="A111" s="14" t="s">
        <v>326</v>
      </c>
    </row>
    <row r="112" spans="1:1" x14ac:dyDescent="0.3">
      <c r="A112" s="14" t="s">
        <v>327</v>
      </c>
    </row>
    <row r="113" spans="1:1" x14ac:dyDescent="0.3">
      <c r="A113" s="14" t="s">
        <v>328</v>
      </c>
    </row>
    <row r="114" spans="1:1" x14ac:dyDescent="0.3">
      <c r="A114" s="14" t="s">
        <v>329</v>
      </c>
    </row>
    <row r="115" spans="1:1" x14ac:dyDescent="0.3">
      <c r="A115" s="14" t="s">
        <v>330</v>
      </c>
    </row>
    <row r="116" spans="1:1" x14ac:dyDescent="0.3">
      <c r="A116" s="14" t="s">
        <v>331</v>
      </c>
    </row>
    <row r="117" spans="1:1" x14ac:dyDescent="0.3">
      <c r="A117" s="14" t="s">
        <v>332</v>
      </c>
    </row>
    <row r="118" spans="1:1" x14ac:dyDescent="0.3">
      <c r="A118" s="14" t="s">
        <v>333</v>
      </c>
    </row>
    <row r="119" spans="1:1" x14ac:dyDescent="0.3">
      <c r="A119" s="14" t="s">
        <v>334</v>
      </c>
    </row>
    <row r="120" spans="1:1" x14ac:dyDescent="0.3">
      <c r="A120" s="14" t="s">
        <v>335</v>
      </c>
    </row>
    <row r="121" spans="1:1" x14ac:dyDescent="0.3">
      <c r="A121" s="14" t="s">
        <v>336</v>
      </c>
    </row>
    <row r="122" spans="1:1" x14ac:dyDescent="0.3">
      <c r="A122" s="14" t="s">
        <v>337</v>
      </c>
    </row>
    <row r="123" spans="1:1" x14ac:dyDescent="0.3">
      <c r="A123" s="14" t="s">
        <v>338</v>
      </c>
    </row>
    <row r="124" spans="1:1" x14ac:dyDescent="0.3">
      <c r="A124" s="14" t="s">
        <v>339</v>
      </c>
    </row>
    <row r="125" spans="1:1" x14ac:dyDescent="0.3">
      <c r="A125" s="14" t="s">
        <v>340</v>
      </c>
    </row>
    <row r="126" spans="1:1" x14ac:dyDescent="0.3">
      <c r="A126" s="14" t="s">
        <v>341</v>
      </c>
    </row>
    <row r="127" spans="1:1" x14ac:dyDescent="0.3">
      <c r="A127" s="14" t="s">
        <v>342</v>
      </c>
    </row>
    <row r="128" spans="1:1" x14ac:dyDescent="0.3">
      <c r="A128" s="14" t="s">
        <v>343</v>
      </c>
    </row>
    <row r="129" spans="1:1" x14ac:dyDescent="0.3">
      <c r="A129" s="14" t="s">
        <v>344</v>
      </c>
    </row>
    <row r="130" spans="1:1" x14ac:dyDescent="0.3">
      <c r="A130" s="14" t="s">
        <v>345</v>
      </c>
    </row>
    <row r="131" spans="1:1" x14ac:dyDescent="0.3">
      <c r="A131" s="14" t="s">
        <v>346</v>
      </c>
    </row>
    <row r="132" spans="1:1" x14ac:dyDescent="0.3">
      <c r="A132" s="14" t="s">
        <v>347</v>
      </c>
    </row>
    <row r="133" spans="1:1" x14ac:dyDescent="0.3">
      <c r="A133" s="14" t="s">
        <v>348</v>
      </c>
    </row>
    <row r="134" spans="1:1" x14ac:dyDescent="0.3">
      <c r="A134" s="14" t="s">
        <v>349</v>
      </c>
    </row>
    <row r="135" spans="1:1" x14ac:dyDescent="0.3">
      <c r="A135" s="14" t="s">
        <v>350</v>
      </c>
    </row>
    <row r="136" spans="1:1" x14ac:dyDescent="0.3">
      <c r="A136" s="14" t="s">
        <v>351</v>
      </c>
    </row>
    <row r="137" spans="1:1" x14ac:dyDescent="0.3">
      <c r="A137" s="14" t="s">
        <v>352</v>
      </c>
    </row>
    <row r="138" spans="1:1" x14ac:dyDescent="0.3">
      <c r="A138" s="14" t="s">
        <v>353</v>
      </c>
    </row>
    <row r="139" spans="1:1" x14ac:dyDescent="0.3">
      <c r="A139" s="14" t="s">
        <v>354</v>
      </c>
    </row>
    <row r="140" spans="1:1" x14ac:dyDescent="0.3">
      <c r="A140" s="14" t="s">
        <v>355</v>
      </c>
    </row>
    <row r="141" spans="1:1" x14ac:dyDescent="0.3">
      <c r="A141" s="14" t="s">
        <v>356</v>
      </c>
    </row>
    <row r="142" spans="1:1" x14ac:dyDescent="0.3">
      <c r="A142" s="14" t="s">
        <v>357</v>
      </c>
    </row>
    <row r="143" spans="1:1" x14ac:dyDescent="0.3">
      <c r="A143" s="14" t="s">
        <v>358</v>
      </c>
    </row>
    <row r="144" spans="1:1" x14ac:dyDescent="0.3">
      <c r="A144" s="14" t="s">
        <v>359</v>
      </c>
    </row>
    <row r="145" spans="1:1" x14ac:dyDescent="0.3">
      <c r="A145" s="14" t="s">
        <v>360</v>
      </c>
    </row>
    <row r="146" spans="1:1" x14ac:dyDescent="0.3">
      <c r="A146" s="14" t="s">
        <v>361</v>
      </c>
    </row>
    <row r="147" spans="1:1" x14ac:dyDescent="0.3">
      <c r="A147" s="14" t="s">
        <v>362</v>
      </c>
    </row>
    <row r="148" spans="1:1" x14ac:dyDescent="0.3">
      <c r="A148" s="14" t="s">
        <v>363</v>
      </c>
    </row>
    <row r="149" spans="1:1" x14ac:dyDescent="0.3">
      <c r="A149" s="14" t="s">
        <v>364</v>
      </c>
    </row>
    <row r="150" spans="1:1" x14ac:dyDescent="0.3">
      <c r="A150" s="14" t="s">
        <v>365</v>
      </c>
    </row>
    <row r="151" spans="1:1" x14ac:dyDescent="0.3">
      <c r="A151" s="14" t="s">
        <v>366</v>
      </c>
    </row>
    <row r="152" spans="1:1" x14ac:dyDescent="0.3">
      <c r="A152" s="14" t="s">
        <v>367</v>
      </c>
    </row>
    <row r="153" spans="1:1" x14ac:dyDescent="0.3">
      <c r="A153" s="14" t="s">
        <v>368</v>
      </c>
    </row>
    <row r="154" spans="1:1" x14ac:dyDescent="0.3">
      <c r="A154" s="14" t="s">
        <v>369</v>
      </c>
    </row>
    <row r="155" spans="1:1" x14ac:dyDescent="0.3">
      <c r="A155" s="14" t="s">
        <v>370</v>
      </c>
    </row>
    <row r="156" spans="1:1" x14ac:dyDescent="0.3">
      <c r="A156" s="14" t="s">
        <v>371</v>
      </c>
    </row>
    <row r="157" spans="1:1" x14ac:dyDescent="0.3">
      <c r="A157" s="14" t="s">
        <v>372</v>
      </c>
    </row>
    <row r="158" spans="1:1" x14ac:dyDescent="0.3">
      <c r="A158" s="14" t="s">
        <v>373</v>
      </c>
    </row>
    <row r="159" spans="1:1" x14ac:dyDescent="0.3">
      <c r="A159" s="14" t="s">
        <v>374</v>
      </c>
    </row>
    <row r="160" spans="1:1" x14ac:dyDescent="0.3">
      <c r="A160" s="14" t="s">
        <v>375</v>
      </c>
    </row>
    <row r="161" spans="1:1" x14ac:dyDescent="0.3">
      <c r="A161" s="14" t="s">
        <v>376</v>
      </c>
    </row>
    <row r="162" spans="1:1" x14ac:dyDescent="0.3">
      <c r="A162" s="14" t="s">
        <v>377</v>
      </c>
    </row>
    <row r="163" spans="1:1" x14ac:dyDescent="0.3">
      <c r="A163" s="14" t="s">
        <v>378</v>
      </c>
    </row>
    <row r="164" spans="1:1" x14ac:dyDescent="0.3">
      <c r="A164" s="14" t="s">
        <v>379</v>
      </c>
    </row>
    <row r="165" spans="1:1" x14ac:dyDescent="0.3">
      <c r="A165" s="14" t="s">
        <v>380</v>
      </c>
    </row>
    <row r="166" spans="1:1" x14ac:dyDescent="0.3">
      <c r="A166" s="14" t="s">
        <v>381</v>
      </c>
    </row>
    <row r="167" spans="1:1" x14ac:dyDescent="0.3">
      <c r="A167" s="14" t="s">
        <v>382</v>
      </c>
    </row>
    <row r="168" spans="1:1" x14ac:dyDescent="0.3">
      <c r="A168" s="14" t="s">
        <v>383</v>
      </c>
    </row>
    <row r="169" spans="1:1" x14ac:dyDescent="0.3">
      <c r="A169" s="14" t="s">
        <v>384</v>
      </c>
    </row>
    <row r="170" spans="1:1" x14ac:dyDescent="0.3">
      <c r="A170" s="14" t="s">
        <v>385</v>
      </c>
    </row>
    <row r="171" spans="1:1" x14ac:dyDescent="0.3">
      <c r="A171" s="14" t="s">
        <v>386</v>
      </c>
    </row>
    <row r="172" spans="1:1" x14ac:dyDescent="0.3">
      <c r="A172" s="14" t="s">
        <v>387</v>
      </c>
    </row>
    <row r="173" spans="1:1" x14ac:dyDescent="0.3">
      <c r="A173" s="14" t="s">
        <v>388</v>
      </c>
    </row>
    <row r="174" spans="1:1" x14ac:dyDescent="0.3">
      <c r="A174" s="14" t="s">
        <v>389</v>
      </c>
    </row>
    <row r="175" spans="1:1" x14ac:dyDescent="0.3">
      <c r="A175" s="14" t="s">
        <v>390</v>
      </c>
    </row>
    <row r="176" spans="1:1" x14ac:dyDescent="0.3">
      <c r="A176" s="14" t="s">
        <v>391</v>
      </c>
    </row>
    <row r="177" spans="1:1" x14ac:dyDescent="0.3">
      <c r="A177" s="14" t="s">
        <v>392</v>
      </c>
    </row>
    <row r="178" spans="1:1" x14ac:dyDescent="0.3">
      <c r="A178" s="14" t="s">
        <v>393</v>
      </c>
    </row>
    <row r="179" spans="1:1" x14ac:dyDescent="0.3">
      <c r="A179" s="14" t="s">
        <v>394</v>
      </c>
    </row>
    <row r="180" spans="1:1" x14ac:dyDescent="0.3">
      <c r="A180" s="14" t="s">
        <v>395</v>
      </c>
    </row>
    <row r="181" spans="1:1" x14ac:dyDescent="0.3">
      <c r="A181" s="14" t="s">
        <v>396</v>
      </c>
    </row>
    <row r="182" spans="1:1" x14ac:dyDescent="0.3">
      <c r="A182" s="14" t="s">
        <v>397</v>
      </c>
    </row>
    <row r="183" spans="1:1" x14ac:dyDescent="0.3">
      <c r="A183" s="14" t="s">
        <v>398</v>
      </c>
    </row>
    <row r="184" spans="1:1" x14ac:dyDescent="0.3">
      <c r="A184" s="14" t="s">
        <v>399</v>
      </c>
    </row>
    <row r="185" spans="1:1" x14ac:dyDescent="0.3">
      <c r="A185" s="14" t="s">
        <v>400</v>
      </c>
    </row>
    <row r="186" spans="1:1" x14ac:dyDescent="0.3">
      <c r="A186" s="14" t="s">
        <v>401</v>
      </c>
    </row>
    <row r="187" spans="1:1" x14ac:dyDescent="0.3">
      <c r="A187" s="14" t="s">
        <v>402</v>
      </c>
    </row>
    <row r="188" spans="1:1" x14ac:dyDescent="0.3">
      <c r="A188" s="14" t="s">
        <v>403</v>
      </c>
    </row>
    <row r="189" spans="1:1" x14ac:dyDescent="0.3">
      <c r="A189" s="14" t="s">
        <v>404</v>
      </c>
    </row>
    <row r="190" spans="1:1" x14ac:dyDescent="0.3">
      <c r="A190" s="14" t="s">
        <v>405</v>
      </c>
    </row>
    <row r="191" spans="1:1" x14ac:dyDescent="0.3">
      <c r="A191" s="14" t="s">
        <v>406</v>
      </c>
    </row>
    <row r="192" spans="1:1" x14ac:dyDescent="0.3">
      <c r="A192" s="14" t="s">
        <v>407</v>
      </c>
    </row>
    <row r="193" spans="1:1" x14ac:dyDescent="0.3">
      <c r="A193" s="14" t="s">
        <v>408</v>
      </c>
    </row>
    <row r="194" spans="1:1" x14ac:dyDescent="0.3">
      <c r="A194" s="14" t="s">
        <v>409</v>
      </c>
    </row>
    <row r="195" spans="1:1" x14ac:dyDescent="0.3">
      <c r="A195" s="14" t="s">
        <v>410</v>
      </c>
    </row>
    <row r="196" spans="1:1" x14ac:dyDescent="0.3">
      <c r="A196" s="14" t="s">
        <v>411</v>
      </c>
    </row>
    <row r="197" spans="1:1" x14ac:dyDescent="0.3">
      <c r="A197" s="14" t="s">
        <v>412</v>
      </c>
    </row>
    <row r="198" spans="1:1" x14ac:dyDescent="0.3">
      <c r="A198" s="14" t="s">
        <v>413</v>
      </c>
    </row>
    <row r="199" spans="1:1" x14ac:dyDescent="0.3">
      <c r="A199" s="14" t="s">
        <v>414</v>
      </c>
    </row>
    <row r="200" spans="1:1" x14ac:dyDescent="0.3">
      <c r="A200" s="14" t="s">
        <v>415</v>
      </c>
    </row>
    <row r="201" spans="1:1" x14ac:dyDescent="0.3">
      <c r="A201" s="14" t="s">
        <v>416</v>
      </c>
    </row>
    <row r="202" spans="1:1" x14ac:dyDescent="0.3">
      <c r="A202" s="14" t="s">
        <v>417</v>
      </c>
    </row>
    <row r="203" spans="1:1" x14ac:dyDescent="0.3">
      <c r="A203" s="14" t="s">
        <v>418</v>
      </c>
    </row>
    <row r="204" spans="1:1" x14ac:dyDescent="0.3">
      <c r="A204" s="14" t="s">
        <v>419</v>
      </c>
    </row>
    <row r="205" spans="1:1" x14ac:dyDescent="0.3">
      <c r="A205" s="14" t="s">
        <v>420</v>
      </c>
    </row>
    <row r="206" spans="1:1" x14ac:dyDescent="0.3">
      <c r="A206" s="14" t="s">
        <v>421</v>
      </c>
    </row>
    <row r="207" spans="1:1" x14ac:dyDescent="0.3">
      <c r="A207" s="14" t="s">
        <v>422</v>
      </c>
    </row>
    <row r="208" spans="1:1" x14ac:dyDescent="0.3">
      <c r="A208" s="14" t="s">
        <v>423</v>
      </c>
    </row>
    <row r="209" spans="1:1" x14ac:dyDescent="0.3">
      <c r="A209" s="14" t="s">
        <v>424</v>
      </c>
    </row>
    <row r="210" spans="1:1" x14ac:dyDescent="0.3">
      <c r="A210" s="14" t="s">
        <v>425</v>
      </c>
    </row>
    <row r="211" spans="1:1" x14ac:dyDescent="0.3">
      <c r="A211" s="14" t="s">
        <v>426</v>
      </c>
    </row>
    <row r="212" spans="1:1" x14ac:dyDescent="0.3">
      <c r="A212" s="14" t="s">
        <v>427</v>
      </c>
    </row>
    <row r="213" spans="1:1" x14ac:dyDescent="0.3">
      <c r="A213" s="14" t="s">
        <v>428</v>
      </c>
    </row>
    <row r="214" spans="1:1" x14ac:dyDescent="0.3">
      <c r="A214" s="14" t="s">
        <v>429</v>
      </c>
    </row>
    <row r="215" spans="1:1" x14ac:dyDescent="0.3">
      <c r="A215" s="14" t="s">
        <v>430</v>
      </c>
    </row>
    <row r="216" spans="1:1" x14ac:dyDescent="0.3">
      <c r="A216" s="14" t="s">
        <v>431</v>
      </c>
    </row>
    <row r="217" spans="1:1" x14ac:dyDescent="0.3">
      <c r="A217" s="14" t="s">
        <v>432</v>
      </c>
    </row>
    <row r="218" spans="1:1" x14ac:dyDescent="0.3">
      <c r="A218" s="14" t="s">
        <v>433</v>
      </c>
    </row>
    <row r="219" spans="1:1" x14ac:dyDescent="0.3">
      <c r="A219" s="14" t="s">
        <v>434</v>
      </c>
    </row>
    <row r="220" spans="1:1" x14ac:dyDescent="0.3">
      <c r="A220" s="14" t="s">
        <v>435</v>
      </c>
    </row>
    <row r="221" spans="1:1" x14ac:dyDescent="0.3">
      <c r="A221" s="14" t="s">
        <v>436</v>
      </c>
    </row>
    <row r="222" spans="1:1" x14ac:dyDescent="0.3">
      <c r="A222" s="14" t="s">
        <v>437</v>
      </c>
    </row>
    <row r="223" spans="1:1" x14ac:dyDescent="0.3">
      <c r="A223" s="14" t="s">
        <v>438</v>
      </c>
    </row>
    <row r="224" spans="1:1" x14ac:dyDescent="0.3">
      <c r="A224" s="14" t="s">
        <v>439</v>
      </c>
    </row>
    <row r="225" spans="1:1" x14ac:dyDescent="0.3">
      <c r="A225" s="14" t="s">
        <v>440</v>
      </c>
    </row>
    <row r="226" spans="1:1" x14ac:dyDescent="0.3">
      <c r="A226" s="14" t="s">
        <v>441</v>
      </c>
    </row>
    <row r="227" spans="1:1" x14ac:dyDescent="0.3">
      <c r="A227" s="14" t="s">
        <v>442</v>
      </c>
    </row>
    <row r="228" spans="1:1" x14ac:dyDescent="0.3">
      <c r="A228" s="14" t="s">
        <v>443</v>
      </c>
    </row>
    <row r="229" spans="1:1" x14ac:dyDescent="0.3">
      <c r="A229" s="14" t="s">
        <v>444</v>
      </c>
    </row>
    <row r="230" spans="1:1" x14ac:dyDescent="0.3">
      <c r="A230" s="14" t="s">
        <v>445</v>
      </c>
    </row>
    <row r="231" spans="1:1" x14ac:dyDescent="0.3">
      <c r="A231" s="14" t="s">
        <v>446</v>
      </c>
    </row>
    <row r="232" spans="1:1" x14ac:dyDescent="0.3">
      <c r="A232" s="14" t="s">
        <v>447</v>
      </c>
    </row>
    <row r="233" spans="1:1" x14ac:dyDescent="0.3">
      <c r="A233" s="14" t="s">
        <v>448</v>
      </c>
    </row>
    <row r="234" spans="1:1" x14ac:dyDescent="0.3">
      <c r="A234" s="14" t="s">
        <v>449</v>
      </c>
    </row>
    <row r="235" spans="1:1" x14ac:dyDescent="0.3">
      <c r="A235" s="14" t="s">
        <v>450</v>
      </c>
    </row>
    <row r="236" spans="1:1" x14ac:dyDescent="0.3">
      <c r="A236" s="14" t="s">
        <v>451</v>
      </c>
    </row>
    <row r="237" spans="1:1" x14ac:dyDescent="0.3">
      <c r="A237" s="14" t="s">
        <v>452</v>
      </c>
    </row>
    <row r="238" spans="1:1" x14ac:dyDescent="0.3">
      <c r="A238" s="14" t="s">
        <v>453</v>
      </c>
    </row>
    <row r="239" spans="1:1" x14ac:dyDescent="0.3">
      <c r="A239" s="14" t="s">
        <v>454</v>
      </c>
    </row>
    <row r="240" spans="1:1" x14ac:dyDescent="0.3">
      <c r="A240" s="14" t="s">
        <v>455</v>
      </c>
    </row>
    <row r="241" spans="1:1" x14ac:dyDescent="0.3">
      <c r="A241" s="14" t="s">
        <v>456</v>
      </c>
    </row>
    <row r="242" spans="1:1" x14ac:dyDescent="0.3">
      <c r="A242" s="14" t="s">
        <v>457</v>
      </c>
    </row>
    <row r="243" spans="1:1" x14ac:dyDescent="0.3">
      <c r="A243" s="14" t="s">
        <v>458</v>
      </c>
    </row>
    <row r="244" spans="1:1" x14ac:dyDescent="0.3">
      <c r="A244" s="14" t="s">
        <v>459</v>
      </c>
    </row>
    <row r="245" spans="1:1" x14ac:dyDescent="0.3">
      <c r="A245" s="14" t="s">
        <v>460</v>
      </c>
    </row>
    <row r="246" spans="1:1" x14ac:dyDescent="0.3">
      <c r="A246" s="14" t="s">
        <v>461</v>
      </c>
    </row>
    <row r="247" spans="1:1" x14ac:dyDescent="0.3">
      <c r="A247" s="14" t="s">
        <v>462</v>
      </c>
    </row>
    <row r="248" spans="1:1" x14ac:dyDescent="0.3">
      <c r="A248" s="14" t="s">
        <v>463</v>
      </c>
    </row>
    <row r="249" spans="1:1" x14ac:dyDescent="0.3">
      <c r="A249" s="14" t="s">
        <v>464</v>
      </c>
    </row>
    <row r="250" spans="1:1" x14ac:dyDescent="0.3">
      <c r="A250" s="14" t="s">
        <v>465</v>
      </c>
    </row>
    <row r="251" spans="1:1" x14ac:dyDescent="0.3">
      <c r="A251" s="14" t="s">
        <v>466</v>
      </c>
    </row>
    <row r="252" spans="1:1" x14ac:dyDescent="0.3">
      <c r="A252" s="14" t="s">
        <v>467</v>
      </c>
    </row>
    <row r="253" spans="1:1" x14ac:dyDescent="0.3">
      <c r="A253" s="14" t="s">
        <v>468</v>
      </c>
    </row>
    <row r="254" spans="1:1" x14ac:dyDescent="0.3">
      <c r="A254" s="14" t="s">
        <v>469</v>
      </c>
    </row>
    <row r="255" spans="1:1" x14ac:dyDescent="0.3">
      <c r="A255" s="14" t="s">
        <v>470</v>
      </c>
    </row>
    <row r="256" spans="1:1" x14ac:dyDescent="0.3">
      <c r="A256" s="14" t="s">
        <v>471</v>
      </c>
    </row>
    <row r="257" spans="1:1" x14ac:dyDescent="0.3">
      <c r="A257" s="14" t="s">
        <v>472</v>
      </c>
    </row>
    <row r="258" spans="1:1" x14ac:dyDescent="0.3">
      <c r="A258" s="14" t="s">
        <v>473</v>
      </c>
    </row>
    <row r="259" spans="1:1" x14ac:dyDescent="0.3">
      <c r="A259" s="14" t="s">
        <v>474</v>
      </c>
    </row>
    <row r="260" spans="1:1" x14ac:dyDescent="0.3">
      <c r="A260" s="14" t="s">
        <v>475</v>
      </c>
    </row>
    <row r="261" spans="1:1" x14ac:dyDescent="0.3">
      <c r="A261" s="14" t="s">
        <v>476</v>
      </c>
    </row>
    <row r="262" spans="1:1" x14ac:dyDescent="0.3">
      <c r="A262" s="14" t="s">
        <v>477</v>
      </c>
    </row>
    <row r="263" spans="1:1" x14ac:dyDescent="0.3">
      <c r="A263" s="14" t="s">
        <v>478</v>
      </c>
    </row>
    <row r="264" spans="1:1" x14ac:dyDescent="0.3">
      <c r="A264" s="14" t="s">
        <v>479</v>
      </c>
    </row>
    <row r="265" spans="1:1" x14ac:dyDescent="0.3">
      <c r="A265" s="14" t="s">
        <v>480</v>
      </c>
    </row>
    <row r="266" spans="1:1" x14ac:dyDescent="0.3">
      <c r="A266" s="14" t="s">
        <v>481</v>
      </c>
    </row>
    <row r="267" spans="1:1" x14ac:dyDescent="0.3">
      <c r="A267" s="14" t="s">
        <v>482</v>
      </c>
    </row>
    <row r="268" spans="1:1" x14ac:dyDescent="0.3">
      <c r="A268" s="14" t="s">
        <v>483</v>
      </c>
    </row>
    <row r="269" spans="1:1" x14ac:dyDescent="0.3">
      <c r="A269" s="14" t="s">
        <v>484</v>
      </c>
    </row>
    <row r="270" spans="1:1" x14ac:dyDescent="0.3">
      <c r="A270" s="14" t="s">
        <v>485</v>
      </c>
    </row>
    <row r="271" spans="1:1" x14ac:dyDescent="0.3">
      <c r="A271" s="14" t="s">
        <v>486</v>
      </c>
    </row>
    <row r="272" spans="1:1" x14ac:dyDescent="0.3">
      <c r="A272" s="14" t="s">
        <v>487</v>
      </c>
    </row>
    <row r="273" spans="1:1" x14ac:dyDescent="0.3">
      <c r="A273" s="14" t="s">
        <v>488</v>
      </c>
    </row>
    <row r="274" spans="1:1" x14ac:dyDescent="0.3">
      <c r="A274" s="14" t="s">
        <v>489</v>
      </c>
    </row>
    <row r="275" spans="1:1" x14ac:dyDescent="0.3">
      <c r="A275" s="14" t="s">
        <v>490</v>
      </c>
    </row>
    <row r="276" spans="1:1" x14ac:dyDescent="0.3">
      <c r="A276" s="14" t="s">
        <v>491</v>
      </c>
    </row>
    <row r="277" spans="1:1" x14ac:dyDescent="0.3">
      <c r="A277" s="14" t="s">
        <v>492</v>
      </c>
    </row>
    <row r="278" spans="1:1" x14ac:dyDescent="0.3">
      <c r="A278" s="14" t="s">
        <v>493</v>
      </c>
    </row>
    <row r="279" spans="1:1" x14ac:dyDescent="0.3">
      <c r="A279" s="14" t="s">
        <v>494</v>
      </c>
    </row>
    <row r="280" spans="1:1" x14ac:dyDescent="0.3">
      <c r="A280" s="14" t="s">
        <v>495</v>
      </c>
    </row>
    <row r="281" spans="1:1" x14ac:dyDescent="0.3">
      <c r="A281" s="14" t="s">
        <v>496</v>
      </c>
    </row>
    <row r="282" spans="1:1" x14ac:dyDescent="0.3">
      <c r="A282" s="14" t="s">
        <v>497</v>
      </c>
    </row>
    <row r="283" spans="1:1" x14ac:dyDescent="0.3">
      <c r="A283" s="14" t="s">
        <v>498</v>
      </c>
    </row>
    <row r="284" spans="1:1" x14ac:dyDescent="0.3">
      <c r="A284" s="14" t="s">
        <v>499</v>
      </c>
    </row>
    <row r="285" spans="1:1" x14ac:dyDescent="0.3">
      <c r="A285" s="14" t="s">
        <v>500</v>
      </c>
    </row>
    <row r="286" spans="1:1" x14ac:dyDescent="0.3">
      <c r="A286" s="14" t="s">
        <v>501</v>
      </c>
    </row>
    <row r="287" spans="1:1" x14ac:dyDescent="0.3">
      <c r="A287" s="14" t="s">
        <v>502</v>
      </c>
    </row>
    <row r="288" spans="1:1" x14ac:dyDescent="0.3">
      <c r="A288" s="14" t="s">
        <v>503</v>
      </c>
    </row>
    <row r="289" spans="1:1" x14ac:dyDescent="0.3">
      <c r="A289" s="14" t="s">
        <v>504</v>
      </c>
    </row>
    <row r="290" spans="1:1" x14ac:dyDescent="0.3">
      <c r="A290" s="14" t="s">
        <v>505</v>
      </c>
    </row>
    <row r="291" spans="1:1" x14ac:dyDescent="0.3">
      <c r="A291" s="14" t="s">
        <v>506</v>
      </c>
    </row>
    <row r="292" spans="1:1" x14ac:dyDescent="0.3">
      <c r="A292" s="14" t="s">
        <v>507</v>
      </c>
    </row>
    <row r="293" spans="1:1" x14ac:dyDescent="0.3">
      <c r="A293" s="14" t="s">
        <v>508</v>
      </c>
    </row>
    <row r="294" spans="1:1" x14ac:dyDescent="0.3">
      <c r="A294" s="14" t="s">
        <v>509</v>
      </c>
    </row>
    <row r="295" spans="1:1" x14ac:dyDescent="0.3">
      <c r="A295" s="14" t="s">
        <v>510</v>
      </c>
    </row>
    <row r="296" spans="1:1" x14ac:dyDescent="0.3">
      <c r="A296" s="14" t="s">
        <v>511</v>
      </c>
    </row>
    <row r="297" spans="1:1" x14ac:dyDescent="0.3">
      <c r="A297" s="14" t="s">
        <v>512</v>
      </c>
    </row>
    <row r="298" spans="1:1" x14ac:dyDescent="0.3">
      <c r="A298" s="14" t="s">
        <v>513</v>
      </c>
    </row>
    <row r="299" spans="1:1" x14ac:dyDescent="0.3">
      <c r="A299" s="14" t="s">
        <v>514</v>
      </c>
    </row>
    <row r="300" spans="1:1" x14ac:dyDescent="0.3">
      <c r="A300" s="14" t="s">
        <v>515</v>
      </c>
    </row>
    <row r="301" spans="1:1" x14ac:dyDescent="0.3">
      <c r="A301" s="14" t="s">
        <v>516</v>
      </c>
    </row>
    <row r="302" spans="1:1" x14ac:dyDescent="0.3">
      <c r="A302" s="14" t="s">
        <v>517</v>
      </c>
    </row>
    <row r="303" spans="1:1" x14ac:dyDescent="0.3">
      <c r="A303" s="14" t="s">
        <v>518</v>
      </c>
    </row>
    <row r="304" spans="1:1" x14ac:dyDescent="0.3">
      <c r="A304" s="14" t="s">
        <v>519</v>
      </c>
    </row>
    <row r="305" spans="1:1" x14ac:dyDescent="0.3">
      <c r="A305" s="14" t="s">
        <v>520</v>
      </c>
    </row>
    <row r="306" spans="1:1" x14ac:dyDescent="0.3">
      <c r="A306" s="14" t="s">
        <v>521</v>
      </c>
    </row>
    <row r="307" spans="1:1" x14ac:dyDescent="0.3">
      <c r="A307" s="14" t="s">
        <v>522</v>
      </c>
    </row>
    <row r="308" spans="1:1" x14ac:dyDescent="0.3">
      <c r="A308" s="14" t="s">
        <v>523</v>
      </c>
    </row>
    <row r="309" spans="1:1" x14ac:dyDescent="0.3">
      <c r="A309" s="14" t="s">
        <v>524</v>
      </c>
    </row>
    <row r="310" spans="1:1" x14ac:dyDescent="0.3">
      <c r="A310" s="14" t="s">
        <v>525</v>
      </c>
    </row>
    <row r="311" spans="1:1" x14ac:dyDescent="0.3">
      <c r="A311" s="14" t="s">
        <v>526</v>
      </c>
    </row>
    <row r="312" spans="1:1" x14ac:dyDescent="0.3">
      <c r="A312" s="14" t="s">
        <v>527</v>
      </c>
    </row>
    <row r="313" spans="1:1" x14ac:dyDescent="0.3">
      <c r="A313" s="14" t="s">
        <v>528</v>
      </c>
    </row>
    <row r="314" spans="1:1" x14ac:dyDescent="0.3">
      <c r="A314" s="14" t="s">
        <v>529</v>
      </c>
    </row>
    <row r="315" spans="1:1" x14ac:dyDescent="0.3">
      <c r="A315" s="14" t="s">
        <v>530</v>
      </c>
    </row>
    <row r="316" spans="1:1" x14ac:dyDescent="0.3">
      <c r="A316" s="14" t="s">
        <v>531</v>
      </c>
    </row>
    <row r="317" spans="1:1" x14ac:dyDescent="0.3">
      <c r="A317" s="14" t="s">
        <v>532</v>
      </c>
    </row>
    <row r="318" spans="1:1" x14ac:dyDescent="0.3">
      <c r="A318" s="14" t="s">
        <v>533</v>
      </c>
    </row>
    <row r="319" spans="1:1" x14ac:dyDescent="0.3">
      <c r="A319" s="14" t="s">
        <v>534</v>
      </c>
    </row>
    <row r="320" spans="1:1" x14ac:dyDescent="0.3">
      <c r="A320" s="14" t="s">
        <v>535</v>
      </c>
    </row>
    <row r="321" spans="1:1" x14ac:dyDescent="0.3">
      <c r="A321" s="14" t="s">
        <v>536</v>
      </c>
    </row>
    <row r="322" spans="1:1" x14ac:dyDescent="0.3">
      <c r="A322" s="14" t="s">
        <v>537</v>
      </c>
    </row>
    <row r="323" spans="1:1" x14ac:dyDescent="0.3">
      <c r="A323" s="14" t="s">
        <v>538</v>
      </c>
    </row>
    <row r="324" spans="1:1" x14ac:dyDescent="0.3">
      <c r="A324" s="14" t="s">
        <v>539</v>
      </c>
    </row>
    <row r="325" spans="1:1" x14ac:dyDescent="0.3">
      <c r="A325" s="14" t="s">
        <v>540</v>
      </c>
    </row>
    <row r="326" spans="1:1" x14ac:dyDescent="0.3">
      <c r="A326" s="14" t="s">
        <v>541</v>
      </c>
    </row>
    <row r="327" spans="1:1" x14ac:dyDescent="0.3">
      <c r="A327" s="14" t="s">
        <v>542</v>
      </c>
    </row>
    <row r="328" spans="1:1" x14ac:dyDescent="0.3">
      <c r="A328" s="14" t="s">
        <v>543</v>
      </c>
    </row>
    <row r="329" spans="1:1" x14ac:dyDescent="0.3">
      <c r="A329" s="14" t="s">
        <v>544</v>
      </c>
    </row>
    <row r="330" spans="1:1" x14ac:dyDescent="0.3">
      <c r="A330" s="14" t="s">
        <v>545</v>
      </c>
    </row>
    <row r="331" spans="1:1" x14ac:dyDescent="0.3">
      <c r="A331" s="14" t="s">
        <v>546</v>
      </c>
    </row>
    <row r="332" spans="1:1" x14ac:dyDescent="0.3">
      <c r="A332" s="14" t="s">
        <v>547</v>
      </c>
    </row>
    <row r="333" spans="1:1" x14ac:dyDescent="0.3">
      <c r="A333" s="14" t="s">
        <v>548</v>
      </c>
    </row>
    <row r="334" spans="1:1" x14ac:dyDescent="0.3">
      <c r="A334" s="14" t="s">
        <v>549</v>
      </c>
    </row>
    <row r="335" spans="1:1" x14ac:dyDescent="0.3">
      <c r="A335" s="14" t="s">
        <v>550</v>
      </c>
    </row>
    <row r="336" spans="1:1" x14ac:dyDescent="0.3">
      <c r="A336" s="14" t="s">
        <v>551</v>
      </c>
    </row>
    <row r="337" spans="1:1" x14ac:dyDescent="0.3">
      <c r="A337" s="14" t="s">
        <v>552</v>
      </c>
    </row>
    <row r="338" spans="1:1" x14ac:dyDescent="0.3">
      <c r="A338" s="14" t="s">
        <v>553</v>
      </c>
    </row>
    <row r="339" spans="1:1" x14ac:dyDescent="0.3">
      <c r="A339" s="14" t="s">
        <v>554</v>
      </c>
    </row>
    <row r="340" spans="1:1" x14ac:dyDescent="0.3">
      <c r="A340" s="14" t="s">
        <v>555</v>
      </c>
    </row>
    <row r="341" spans="1:1" x14ac:dyDescent="0.3">
      <c r="A341" s="14" t="s">
        <v>556</v>
      </c>
    </row>
    <row r="342" spans="1:1" x14ac:dyDescent="0.3">
      <c r="A342" s="14" t="s">
        <v>557</v>
      </c>
    </row>
    <row r="343" spans="1:1" x14ac:dyDescent="0.3">
      <c r="A343" s="14" t="s">
        <v>558</v>
      </c>
    </row>
    <row r="344" spans="1:1" x14ac:dyDescent="0.3">
      <c r="A344" s="14" t="s">
        <v>559</v>
      </c>
    </row>
    <row r="345" spans="1:1" x14ac:dyDescent="0.3">
      <c r="A345" s="14" t="s">
        <v>560</v>
      </c>
    </row>
    <row r="346" spans="1:1" x14ac:dyDescent="0.3">
      <c r="A346" s="14" t="s">
        <v>561</v>
      </c>
    </row>
    <row r="347" spans="1:1" x14ac:dyDescent="0.3">
      <c r="A347" s="14" t="s">
        <v>562</v>
      </c>
    </row>
    <row r="348" spans="1:1" x14ac:dyDescent="0.3">
      <c r="A348" s="14" t="s">
        <v>563</v>
      </c>
    </row>
    <row r="349" spans="1:1" x14ac:dyDescent="0.3">
      <c r="A349" s="14" t="s">
        <v>564</v>
      </c>
    </row>
    <row r="350" spans="1:1" x14ac:dyDescent="0.3">
      <c r="A350" s="14" t="s">
        <v>565</v>
      </c>
    </row>
    <row r="351" spans="1:1" x14ac:dyDescent="0.3">
      <c r="A351" s="14" t="s">
        <v>566</v>
      </c>
    </row>
    <row r="352" spans="1:1" x14ac:dyDescent="0.3">
      <c r="A352" s="14" t="s">
        <v>567</v>
      </c>
    </row>
    <row r="353" spans="1:1" x14ac:dyDescent="0.3">
      <c r="A353" s="14" t="s">
        <v>568</v>
      </c>
    </row>
    <row r="354" spans="1:1" x14ac:dyDescent="0.3">
      <c r="A354" s="14" t="s">
        <v>569</v>
      </c>
    </row>
    <row r="355" spans="1:1" x14ac:dyDescent="0.3">
      <c r="A355" s="14" t="s">
        <v>570</v>
      </c>
    </row>
    <row r="356" spans="1:1" x14ac:dyDescent="0.3">
      <c r="A356" s="14" t="s">
        <v>571</v>
      </c>
    </row>
    <row r="357" spans="1:1" x14ac:dyDescent="0.3">
      <c r="A357" s="14" t="s">
        <v>572</v>
      </c>
    </row>
    <row r="358" spans="1:1" x14ac:dyDescent="0.3">
      <c r="A358" s="14" t="s">
        <v>573</v>
      </c>
    </row>
    <row r="359" spans="1:1" x14ac:dyDescent="0.3">
      <c r="A359" s="14" t="s">
        <v>574</v>
      </c>
    </row>
    <row r="360" spans="1:1" x14ac:dyDescent="0.3">
      <c r="A360" s="14" t="s">
        <v>575</v>
      </c>
    </row>
    <row r="361" spans="1:1" x14ac:dyDescent="0.3">
      <c r="A361" s="14" t="s">
        <v>576</v>
      </c>
    </row>
    <row r="362" spans="1:1" x14ac:dyDescent="0.3">
      <c r="A362" s="14" t="s">
        <v>577</v>
      </c>
    </row>
    <row r="363" spans="1:1" x14ac:dyDescent="0.3">
      <c r="A363" s="14" t="s">
        <v>578</v>
      </c>
    </row>
    <row r="364" spans="1:1" x14ac:dyDescent="0.3">
      <c r="A364" s="14" t="s">
        <v>579</v>
      </c>
    </row>
    <row r="365" spans="1:1" x14ac:dyDescent="0.3">
      <c r="A365" s="14" t="s">
        <v>580</v>
      </c>
    </row>
    <row r="366" spans="1:1" x14ac:dyDescent="0.3">
      <c r="A366" s="14" t="s">
        <v>581</v>
      </c>
    </row>
    <row r="367" spans="1:1" x14ac:dyDescent="0.3">
      <c r="A367" s="14" t="s">
        <v>582</v>
      </c>
    </row>
    <row r="368" spans="1:1" x14ac:dyDescent="0.3">
      <c r="A368" s="14" t="s">
        <v>583</v>
      </c>
    </row>
    <row r="369" spans="1:1" x14ac:dyDescent="0.3">
      <c r="A369" s="14" t="s">
        <v>584</v>
      </c>
    </row>
    <row r="370" spans="1:1" x14ac:dyDescent="0.3">
      <c r="A370" s="14" t="s">
        <v>585</v>
      </c>
    </row>
    <row r="371" spans="1:1" x14ac:dyDescent="0.3">
      <c r="A371" s="14" t="s">
        <v>586</v>
      </c>
    </row>
    <row r="372" spans="1:1" x14ac:dyDescent="0.3">
      <c r="A372" s="14" t="s">
        <v>587</v>
      </c>
    </row>
    <row r="373" spans="1:1" x14ac:dyDescent="0.3">
      <c r="A373" s="14" t="s">
        <v>588</v>
      </c>
    </row>
    <row r="374" spans="1:1" x14ac:dyDescent="0.3">
      <c r="A374" s="14" t="s">
        <v>589</v>
      </c>
    </row>
    <row r="375" spans="1:1" x14ac:dyDescent="0.3">
      <c r="A375" s="14" t="s">
        <v>590</v>
      </c>
    </row>
    <row r="376" spans="1:1" x14ac:dyDescent="0.3">
      <c r="A376" s="14" t="s">
        <v>591</v>
      </c>
    </row>
    <row r="377" spans="1:1" x14ac:dyDescent="0.3">
      <c r="A377" s="14" t="s">
        <v>592</v>
      </c>
    </row>
    <row r="378" spans="1:1" x14ac:dyDescent="0.3">
      <c r="A378" s="14" t="s">
        <v>593</v>
      </c>
    </row>
    <row r="379" spans="1:1" x14ac:dyDescent="0.3">
      <c r="A379" s="14" t="s">
        <v>594</v>
      </c>
    </row>
    <row r="380" spans="1:1" x14ac:dyDescent="0.3">
      <c r="A380" s="14" t="s">
        <v>595</v>
      </c>
    </row>
    <row r="381" spans="1:1" x14ac:dyDescent="0.3">
      <c r="A381" s="14" t="s">
        <v>596</v>
      </c>
    </row>
    <row r="382" spans="1:1" x14ac:dyDescent="0.3">
      <c r="A382" s="14" t="s">
        <v>597</v>
      </c>
    </row>
    <row r="383" spans="1:1" x14ac:dyDescent="0.3">
      <c r="A383" s="14" t="s">
        <v>598</v>
      </c>
    </row>
    <row r="384" spans="1:1" x14ac:dyDescent="0.3">
      <c r="A384" s="14" t="s">
        <v>599</v>
      </c>
    </row>
    <row r="385" spans="1:1" x14ac:dyDescent="0.3">
      <c r="A385" s="14" t="s">
        <v>600</v>
      </c>
    </row>
    <row r="386" spans="1:1" x14ac:dyDescent="0.3">
      <c r="A386" s="14" t="s">
        <v>601</v>
      </c>
    </row>
    <row r="387" spans="1:1" x14ac:dyDescent="0.3">
      <c r="A387" s="14" t="s">
        <v>602</v>
      </c>
    </row>
    <row r="388" spans="1:1" x14ac:dyDescent="0.3">
      <c r="A388" s="14" t="s">
        <v>603</v>
      </c>
    </row>
    <row r="389" spans="1:1" x14ac:dyDescent="0.3">
      <c r="A389" s="14" t="s">
        <v>604</v>
      </c>
    </row>
    <row r="390" spans="1:1" x14ac:dyDescent="0.3">
      <c r="A390" s="14" t="s">
        <v>605</v>
      </c>
    </row>
    <row r="391" spans="1:1" x14ac:dyDescent="0.3">
      <c r="A391" s="14" t="s">
        <v>606</v>
      </c>
    </row>
    <row r="392" spans="1:1" x14ac:dyDescent="0.3">
      <c r="A392" s="14" t="s">
        <v>607</v>
      </c>
    </row>
    <row r="393" spans="1:1" x14ac:dyDescent="0.3">
      <c r="A393" s="14" t="s">
        <v>608</v>
      </c>
    </row>
    <row r="394" spans="1:1" x14ac:dyDescent="0.3">
      <c r="A394" s="14" t="s">
        <v>609</v>
      </c>
    </row>
    <row r="395" spans="1:1" x14ac:dyDescent="0.3">
      <c r="A395" s="14" t="s">
        <v>610</v>
      </c>
    </row>
    <row r="396" spans="1:1" x14ac:dyDescent="0.3">
      <c r="A396" s="14" t="s">
        <v>611</v>
      </c>
    </row>
    <row r="397" spans="1:1" x14ac:dyDescent="0.3">
      <c r="A397" s="14" t="s">
        <v>612</v>
      </c>
    </row>
    <row r="398" spans="1:1" x14ac:dyDescent="0.3">
      <c r="A398" s="14" t="s">
        <v>613</v>
      </c>
    </row>
    <row r="399" spans="1:1" x14ac:dyDescent="0.3">
      <c r="A399" s="14" t="s">
        <v>614</v>
      </c>
    </row>
    <row r="400" spans="1:1" x14ac:dyDescent="0.3">
      <c r="A400" s="14" t="s">
        <v>615</v>
      </c>
    </row>
    <row r="401" spans="1:1" x14ac:dyDescent="0.3">
      <c r="A401" s="14" t="s">
        <v>616</v>
      </c>
    </row>
    <row r="402" spans="1:1" x14ac:dyDescent="0.3">
      <c r="A402" s="14" t="s">
        <v>617</v>
      </c>
    </row>
    <row r="403" spans="1:1" x14ac:dyDescent="0.3">
      <c r="A403" s="14" t="s">
        <v>618</v>
      </c>
    </row>
    <row r="404" spans="1:1" x14ac:dyDescent="0.3">
      <c r="A404" s="14" t="s">
        <v>619</v>
      </c>
    </row>
    <row r="405" spans="1:1" x14ac:dyDescent="0.3">
      <c r="A405" s="14" t="s">
        <v>620</v>
      </c>
    </row>
    <row r="406" spans="1:1" x14ac:dyDescent="0.3">
      <c r="A406" s="14" t="s">
        <v>621</v>
      </c>
    </row>
    <row r="407" spans="1:1" x14ac:dyDescent="0.3">
      <c r="A407" s="14" t="s">
        <v>622</v>
      </c>
    </row>
    <row r="408" spans="1:1" x14ac:dyDescent="0.3">
      <c r="A408" s="14" t="s">
        <v>623</v>
      </c>
    </row>
    <row r="409" spans="1:1" x14ac:dyDescent="0.3">
      <c r="A409" s="14" t="s">
        <v>624</v>
      </c>
    </row>
    <row r="410" spans="1:1" x14ac:dyDescent="0.3">
      <c r="A410" s="14" t="s">
        <v>625</v>
      </c>
    </row>
    <row r="411" spans="1:1" x14ac:dyDescent="0.3">
      <c r="A411" s="14" t="s">
        <v>626</v>
      </c>
    </row>
    <row r="412" spans="1:1" x14ac:dyDescent="0.3">
      <c r="A412" s="14" t="s">
        <v>627</v>
      </c>
    </row>
    <row r="413" spans="1:1" x14ac:dyDescent="0.3">
      <c r="A413" s="14" t="s">
        <v>628</v>
      </c>
    </row>
    <row r="414" spans="1:1" x14ac:dyDescent="0.3">
      <c r="A414" s="14" t="s">
        <v>629</v>
      </c>
    </row>
    <row r="415" spans="1:1" x14ac:dyDescent="0.3">
      <c r="A415" s="14" t="s">
        <v>630</v>
      </c>
    </row>
    <row r="416" spans="1:1" x14ac:dyDescent="0.3">
      <c r="A416" s="14" t="s">
        <v>631</v>
      </c>
    </row>
    <row r="417" spans="1:1" x14ac:dyDescent="0.3">
      <c r="A417" s="14" t="s">
        <v>632</v>
      </c>
    </row>
    <row r="418" spans="1:1" x14ac:dyDescent="0.3">
      <c r="A418" s="14" t="s">
        <v>633</v>
      </c>
    </row>
    <row r="419" spans="1:1" x14ac:dyDescent="0.3">
      <c r="A419" s="14" t="s">
        <v>634</v>
      </c>
    </row>
    <row r="420" spans="1:1" x14ac:dyDescent="0.3">
      <c r="A420" s="14" t="s">
        <v>635</v>
      </c>
    </row>
    <row r="421" spans="1:1" x14ac:dyDescent="0.3">
      <c r="A421" s="14" t="s">
        <v>636</v>
      </c>
    </row>
    <row r="422" spans="1:1" x14ac:dyDescent="0.3">
      <c r="A422" s="14" t="s">
        <v>637</v>
      </c>
    </row>
    <row r="423" spans="1:1" x14ac:dyDescent="0.3">
      <c r="A423" s="14" t="s">
        <v>638</v>
      </c>
    </row>
    <row r="424" spans="1:1" x14ac:dyDescent="0.3">
      <c r="A424" s="14" t="s">
        <v>639</v>
      </c>
    </row>
    <row r="425" spans="1:1" x14ac:dyDescent="0.3">
      <c r="A425" s="14" t="s">
        <v>640</v>
      </c>
    </row>
    <row r="426" spans="1:1" x14ac:dyDescent="0.3">
      <c r="A426" s="14" t="s">
        <v>641</v>
      </c>
    </row>
    <row r="427" spans="1:1" x14ac:dyDescent="0.3">
      <c r="A427" s="14" t="s">
        <v>642</v>
      </c>
    </row>
    <row r="428" spans="1:1" x14ac:dyDescent="0.3">
      <c r="A428" s="14" t="s">
        <v>643</v>
      </c>
    </row>
    <row r="429" spans="1:1" x14ac:dyDescent="0.3">
      <c r="A429" s="14" t="s">
        <v>644</v>
      </c>
    </row>
    <row r="430" spans="1:1" x14ac:dyDescent="0.3">
      <c r="A430" s="14" t="s">
        <v>645</v>
      </c>
    </row>
    <row r="431" spans="1:1" x14ac:dyDescent="0.3">
      <c r="A431" s="14" t="s">
        <v>646</v>
      </c>
    </row>
    <row r="432" spans="1:1" x14ac:dyDescent="0.3">
      <c r="A432" s="14" t="s">
        <v>647</v>
      </c>
    </row>
    <row r="433" spans="1:1" x14ac:dyDescent="0.3">
      <c r="A433" s="14" t="s">
        <v>648</v>
      </c>
    </row>
    <row r="434" spans="1:1" x14ac:dyDescent="0.3">
      <c r="A434" s="14" t="s">
        <v>649</v>
      </c>
    </row>
    <row r="435" spans="1:1" x14ac:dyDescent="0.3">
      <c r="A435" s="14" t="s">
        <v>650</v>
      </c>
    </row>
    <row r="436" spans="1:1" x14ac:dyDescent="0.3">
      <c r="A436" s="14" t="s">
        <v>651</v>
      </c>
    </row>
    <row r="437" spans="1:1" x14ac:dyDescent="0.3">
      <c r="A437" s="14" t="s">
        <v>652</v>
      </c>
    </row>
    <row r="438" spans="1:1" x14ac:dyDescent="0.3">
      <c r="A438" s="14" t="s">
        <v>653</v>
      </c>
    </row>
    <row r="439" spans="1:1" x14ac:dyDescent="0.3">
      <c r="A439" s="14" t="s">
        <v>654</v>
      </c>
    </row>
    <row r="440" spans="1:1" x14ac:dyDescent="0.3">
      <c r="A440" s="14" t="s">
        <v>655</v>
      </c>
    </row>
    <row r="441" spans="1:1" x14ac:dyDescent="0.3">
      <c r="A441" s="14" t="s">
        <v>656</v>
      </c>
    </row>
    <row r="442" spans="1:1" x14ac:dyDescent="0.3">
      <c r="A442" s="14" t="s">
        <v>657</v>
      </c>
    </row>
    <row r="443" spans="1:1" x14ac:dyDescent="0.3">
      <c r="A443" s="14" t="s">
        <v>658</v>
      </c>
    </row>
    <row r="444" spans="1:1" x14ac:dyDescent="0.3">
      <c r="A444" s="14" t="s">
        <v>659</v>
      </c>
    </row>
    <row r="445" spans="1:1" x14ac:dyDescent="0.3">
      <c r="A445" s="14" t="s">
        <v>660</v>
      </c>
    </row>
    <row r="446" spans="1:1" x14ac:dyDescent="0.3">
      <c r="A446" s="14" t="s">
        <v>661</v>
      </c>
    </row>
    <row r="447" spans="1:1" x14ac:dyDescent="0.3">
      <c r="A447" s="14" t="s">
        <v>662</v>
      </c>
    </row>
    <row r="448" spans="1:1" x14ac:dyDescent="0.3">
      <c r="A448" s="14" t="s">
        <v>663</v>
      </c>
    </row>
    <row r="449" spans="1:1" x14ac:dyDescent="0.3">
      <c r="A449" s="14" t="s">
        <v>664</v>
      </c>
    </row>
    <row r="450" spans="1:1" x14ac:dyDescent="0.3">
      <c r="A450" s="14" t="s">
        <v>665</v>
      </c>
    </row>
    <row r="451" spans="1:1" x14ac:dyDescent="0.3">
      <c r="A451" s="14" t="s">
        <v>666</v>
      </c>
    </row>
    <row r="452" spans="1:1" x14ac:dyDescent="0.3">
      <c r="A452" s="14" t="s">
        <v>667</v>
      </c>
    </row>
    <row r="453" spans="1:1" x14ac:dyDescent="0.3">
      <c r="A453" s="14" t="s">
        <v>668</v>
      </c>
    </row>
    <row r="454" spans="1:1" x14ac:dyDescent="0.3">
      <c r="A454" s="14" t="s">
        <v>669</v>
      </c>
    </row>
    <row r="455" spans="1:1" x14ac:dyDescent="0.3">
      <c r="A455" s="14" t="s">
        <v>670</v>
      </c>
    </row>
    <row r="456" spans="1:1" x14ac:dyDescent="0.3">
      <c r="A456" s="14" t="s">
        <v>671</v>
      </c>
    </row>
    <row r="457" spans="1:1" x14ac:dyDescent="0.3">
      <c r="A457" s="14" t="s">
        <v>672</v>
      </c>
    </row>
    <row r="458" spans="1:1" x14ac:dyDescent="0.3">
      <c r="A458" s="14" t="s">
        <v>673</v>
      </c>
    </row>
    <row r="459" spans="1:1" x14ac:dyDescent="0.3">
      <c r="A459" s="14" t="s">
        <v>674</v>
      </c>
    </row>
    <row r="460" spans="1:1" x14ac:dyDescent="0.3">
      <c r="A460" s="14" t="s">
        <v>675</v>
      </c>
    </row>
    <row r="461" spans="1:1" x14ac:dyDescent="0.3">
      <c r="A461" s="14" t="s">
        <v>676</v>
      </c>
    </row>
    <row r="462" spans="1:1" x14ac:dyDescent="0.3">
      <c r="A462" s="14" t="s">
        <v>677</v>
      </c>
    </row>
    <row r="463" spans="1:1" x14ac:dyDescent="0.3">
      <c r="A463" s="14" t="s">
        <v>678</v>
      </c>
    </row>
    <row r="464" spans="1:1" x14ac:dyDescent="0.3">
      <c r="A464" s="14" t="s">
        <v>679</v>
      </c>
    </row>
    <row r="465" spans="1:1" x14ac:dyDescent="0.3">
      <c r="A465" s="14" t="s">
        <v>680</v>
      </c>
    </row>
    <row r="466" spans="1:1" x14ac:dyDescent="0.3">
      <c r="A466" s="14" t="s">
        <v>681</v>
      </c>
    </row>
    <row r="467" spans="1:1" x14ac:dyDescent="0.3">
      <c r="A467" s="14" t="s">
        <v>682</v>
      </c>
    </row>
    <row r="468" spans="1:1" x14ac:dyDescent="0.3">
      <c r="A468" s="14" t="s">
        <v>683</v>
      </c>
    </row>
    <row r="469" spans="1:1" x14ac:dyDescent="0.3">
      <c r="A469" s="14" t="s">
        <v>684</v>
      </c>
    </row>
    <row r="470" spans="1:1" x14ac:dyDescent="0.3">
      <c r="A470" s="14" t="s">
        <v>685</v>
      </c>
    </row>
    <row r="471" spans="1:1" x14ac:dyDescent="0.3">
      <c r="A471" s="14" t="s">
        <v>686</v>
      </c>
    </row>
    <row r="472" spans="1:1" x14ac:dyDescent="0.3">
      <c r="A472" s="14" t="s">
        <v>687</v>
      </c>
    </row>
    <row r="473" spans="1:1" x14ac:dyDescent="0.3">
      <c r="A473" s="14" t="s">
        <v>688</v>
      </c>
    </row>
    <row r="474" spans="1:1" x14ac:dyDescent="0.3">
      <c r="A474" s="14" t="s">
        <v>689</v>
      </c>
    </row>
    <row r="475" spans="1:1" x14ac:dyDescent="0.3">
      <c r="A475" s="14" t="s">
        <v>690</v>
      </c>
    </row>
    <row r="476" spans="1:1" x14ac:dyDescent="0.3">
      <c r="A476" s="14" t="s">
        <v>691</v>
      </c>
    </row>
    <row r="477" spans="1:1" x14ac:dyDescent="0.3">
      <c r="A477" s="14" t="s">
        <v>692</v>
      </c>
    </row>
    <row r="478" spans="1:1" x14ac:dyDescent="0.3">
      <c r="A478" s="14" t="s">
        <v>693</v>
      </c>
    </row>
    <row r="479" spans="1:1" x14ac:dyDescent="0.3">
      <c r="A479" s="14" t="s">
        <v>694</v>
      </c>
    </row>
    <row r="480" spans="1:1" x14ac:dyDescent="0.3">
      <c r="A480" s="14" t="s">
        <v>695</v>
      </c>
    </row>
    <row r="481" spans="1:1" x14ac:dyDescent="0.3">
      <c r="A481" s="14" t="s">
        <v>696</v>
      </c>
    </row>
    <row r="482" spans="1:1" x14ac:dyDescent="0.3">
      <c r="A482" s="14" t="s">
        <v>697</v>
      </c>
    </row>
    <row r="483" spans="1:1" x14ac:dyDescent="0.3">
      <c r="A483" s="14" t="s">
        <v>698</v>
      </c>
    </row>
    <row r="484" spans="1:1" x14ac:dyDescent="0.3">
      <c r="A484" s="14" t="s">
        <v>699</v>
      </c>
    </row>
    <row r="485" spans="1:1" x14ac:dyDescent="0.3">
      <c r="A485" s="14" t="s">
        <v>700</v>
      </c>
    </row>
    <row r="486" spans="1:1" x14ac:dyDescent="0.3">
      <c r="A486" s="14" t="s">
        <v>701</v>
      </c>
    </row>
    <row r="487" spans="1:1" x14ac:dyDescent="0.3">
      <c r="A487" s="14" t="s">
        <v>702</v>
      </c>
    </row>
    <row r="488" spans="1:1" x14ac:dyDescent="0.3">
      <c r="A488" s="14" t="s">
        <v>703</v>
      </c>
    </row>
    <row r="489" spans="1:1" x14ac:dyDescent="0.3">
      <c r="A489" s="14" t="s">
        <v>704</v>
      </c>
    </row>
    <row r="490" spans="1:1" x14ac:dyDescent="0.3">
      <c r="A490" s="14" t="s">
        <v>705</v>
      </c>
    </row>
    <row r="491" spans="1:1" x14ac:dyDescent="0.3">
      <c r="A491" s="14" t="s">
        <v>706</v>
      </c>
    </row>
    <row r="492" spans="1:1" x14ac:dyDescent="0.3">
      <c r="A492" s="14" t="s">
        <v>707</v>
      </c>
    </row>
    <row r="493" spans="1:1" x14ac:dyDescent="0.3">
      <c r="A493" s="14" t="s">
        <v>708</v>
      </c>
    </row>
    <row r="494" spans="1:1" x14ac:dyDescent="0.3">
      <c r="A494" s="14" t="s">
        <v>709</v>
      </c>
    </row>
    <row r="495" spans="1:1" x14ac:dyDescent="0.3">
      <c r="A495" s="14" t="s">
        <v>710</v>
      </c>
    </row>
    <row r="496" spans="1:1" x14ac:dyDescent="0.3">
      <c r="A496" s="14" t="s">
        <v>711</v>
      </c>
    </row>
    <row r="497" spans="1:1" x14ac:dyDescent="0.3">
      <c r="A497" s="14" t="s">
        <v>712</v>
      </c>
    </row>
    <row r="498" spans="1:1" x14ac:dyDescent="0.3">
      <c r="A498" s="14" t="s">
        <v>713</v>
      </c>
    </row>
    <row r="499" spans="1:1" x14ac:dyDescent="0.3">
      <c r="A499" s="14" t="s">
        <v>714</v>
      </c>
    </row>
    <row r="500" spans="1:1" x14ac:dyDescent="0.3">
      <c r="A500" s="14" t="s">
        <v>715</v>
      </c>
    </row>
    <row r="501" spans="1:1" x14ac:dyDescent="0.3">
      <c r="A501" s="14" t="s">
        <v>716</v>
      </c>
    </row>
    <row r="502" spans="1:1" x14ac:dyDescent="0.3">
      <c r="A502" s="14" t="s">
        <v>717</v>
      </c>
    </row>
    <row r="503" spans="1:1" x14ac:dyDescent="0.3">
      <c r="A503" s="14" t="s">
        <v>718</v>
      </c>
    </row>
    <row r="504" spans="1:1" x14ac:dyDescent="0.3">
      <c r="A504" s="14" t="s">
        <v>719</v>
      </c>
    </row>
    <row r="505" spans="1:1" x14ac:dyDescent="0.3">
      <c r="A505" s="14" t="s">
        <v>720</v>
      </c>
    </row>
    <row r="506" spans="1:1" x14ac:dyDescent="0.3">
      <c r="A506" s="14" t="s">
        <v>721</v>
      </c>
    </row>
    <row r="507" spans="1:1" x14ac:dyDescent="0.3">
      <c r="A507" s="14" t="s">
        <v>722</v>
      </c>
    </row>
    <row r="508" spans="1:1" x14ac:dyDescent="0.3">
      <c r="A508" s="14" t="s">
        <v>723</v>
      </c>
    </row>
    <row r="509" spans="1:1" x14ac:dyDescent="0.3">
      <c r="A509" s="14" t="s">
        <v>724</v>
      </c>
    </row>
    <row r="510" spans="1:1" x14ac:dyDescent="0.3">
      <c r="A510" s="14" t="s">
        <v>725</v>
      </c>
    </row>
    <row r="511" spans="1:1" x14ac:dyDescent="0.3">
      <c r="A511" s="14" t="s">
        <v>726</v>
      </c>
    </row>
    <row r="512" spans="1:1" x14ac:dyDescent="0.3">
      <c r="A512" s="14" t="s">
        <v>727</v>
      </c>
    </row>
    <row r="513" spans="1:1" x14ac:dyDescent="0.3">
      <c r="A513" s="14" t="s">
        <v>728</v>
      </c>
    </row>
    <row r="514" spans="1:1" x14ac:dyDescent="0.3">
      <c r="A514" s="14" t="s">
        <v>729</v>
      </c>
    </row>
    <row r="515" spans="1:1" x14ac:dyDescent="0.3">
      <c r="A515" s="14" t="s">
        <v>730</v>
      </c>
    </row>
    <row r="516" spans="1:1" x14ac:dyDescent="0.3">
      <c r="A516" s="14" t="s">
        <v>731</v>
      </c>
    </row>
    <row r="517" spans="1:1" x14ac:dyDescent="0.3">
      <c r="A517" s="14" t="s">
        <v>732</v>
      </c>
    </row>
    <row r="518" spans="1:1" x14ac:dyDescent="0.3">
      <c r="A518" s="14" t="s">
        <v>733</v>
      </c>
    </row>
    <row r="519" spans="1:1" x14ac:dyDescent="0.3">
      <c r="A519" s="14" t="s">
        <v>734</v>
      </c>
    </row>
    <row r="520" spans="1:1" x14ac:dyDescent="0.3">
      <c r="A520" s="14" t="s">
        <v>735</v>
      </c>
    </row>
    <row r="521" spans="1:1" x14ac:dyDescent="0.3">
      <c r="A521" s="14" t="s">
        <v>736</v>
      </c>
    </row>
    <row r="522" spans="1:1" x14ac:dyDescent="0.3">
      <c r="A522" s="14" t="s">
        <v>737</v>
      </c>
    </row>
    <row r="523" spans="1:1" x14ac:dyDescent="0.3">
      <c r="A523" s="14" t="s">
        <v>738</v>
      </c>
    </row>
    <row r="524" spans="1:1" x14ac:dyDescent="0.3">
      <c r="A524" s="14" t="s">
        <v>739</v>
      </c>
    </row>
    <row r="525" spans="1:1" x14ac:dyDescent="0.3">
      <c r="A525" s="14" t="s">
        <v>740</v>
      </c>
    </row>
    <row r="526" spans="1:1" x14ac:dyDescent="0.3">
      <c r="A526" s="14" t="s">
        <v>741</v>
      </c>
    </row>
    <row r="527" spans="1:1" x14ac:dyDescent="0.3">
      <c r="A527" s="14" t="s">
        <v>742</v>
      </c>
    </row>
    <row r="528" spans="1:1" x14ac:dyDescent="0.3">
      <c r="A528" s="14" t="s">
        <v>743</v>
      </c>
    </row>
    <row r="529" spans="1:1" x14ac:dyDescent="0.3">
      <c r="A529" s="14" t="s">
        <v>744</v>
      </c>
    </row>
    <row r="530" spans="1:1" x14ac:dyDescent="0.3">
      <c r="A530" s="14" t="s">
        <v>745</v>
      </c>
    </row>
    <row r="531" spans="1:1" x14ac:dyDescent="0.3">
      <c r="A531" s="14" t="s">
        <v>746</v>
      </c>
    </row>
    <row r="532" spans="1:1" x14ac:dyDescent="0.3">
      <c r="A532" s="14" t="s">
        <v>747</v>
      </c>
    </row>
    <row r="533" spans="1:1" x14ac:dyDescent="0.3">
      <c r="A533" s="14" t="s">
        <v>748</v>
      </c>
    </row>
    <row r="534" spans="1:1" x14ac:dyDescent="0.3">
      <c r="A534" s="14" t="s">
        <v>749</v>
      </c>
    </row>
    <row r="535" spans="1:1" x14ac:dyDescent="0.3">
      <c r="A535" s="14" t="s">
        <v>750</v>
      </c>
    </row>
    <row r="536" spans="1:1" x14ac:dyDescent="0.3">
      <c r="A536" s="14" t="s">
        <v>751</v>
      </c>
    </row>
    <row r="537" spans="1:1" x14ac:dyDescent="0.3">
      <c r="A537" s="14" t="s">
        <v>752</v>
      </c>
    </row>
    <row r="538" spans="1:1" x14ac:dyDescent="0.3">
      <c r="A538" s="14" t="s">
        <v>753</v>
      </c>
    </row>
    <row r="539" spans="1:1" x14ac:dyDescent="0.3">
      <c r="A539" s="14" t="s">
        <v>754</v>
      </c>
    </row>
    <row r="540" spans="1:1" x14ac:dyDescent="0.3">
      <c r="A540" s="14" t="s">
        <v>755</v>
      </c>
    </row>
    <row r="541" spans="1:1" x14ac:dyDescent="0.3">
      <c r="A541" s="14" t="s">
        <v>756</v>
      </c>
    </row>
    <row r="542" spans="1:1" x14ac:dyDescent="0.3">
      <c r="A542" s="14" t="s">
        <v>757</v>
      </c>
    </row>
    <row r="543" spans="1:1" x14ac:dyDescent="0.3">
      <c r="A543" s="14" t="s">
        <v>758</v>
      </c>
    </row>
    <row r="544" spans="1:1" x14ac:dyDescent="0.3">
      <c r="A544" s="14" t="s">
        <v>759</v>
      </c>
    </row>
    <row r="545" spans="1:1" x14ac:dyDescent="0.3">
      <c r="A545" s="14" t="s">
        <v>760</v>
      </c>
    </row>
    <row r="546" spans="1:1" x14ac:dyDescent="0.3">
      <c r="A546" s="14" t="s">
        <v>761</v>
      </c>
    </row>
    <row r="547" spans="1:1" x14ac:dyDescent="0.3">
      <c r="A547" s="14" t="s">
        <v>762</v>
      </c>
    </row>
    <row r="548" spans="1:1" x14ac:dyDescent="0.3">
      <c r="A548" s="14" t="s">
        <v>763</v>
      </c>
    </row>
    <row r="549" spans="1:1" x14ac:dyDescent="0.3">
      <c r="A549" s="14" t="s">
        <v>764</v>
      </c>
    </row>
    <row r="550" spans="1:1" x14ac:dyDescent="0.3">
      <c r="A550" s="14" t="s">
        <v>765</v>
      </c>
    </row>
    <row r="551" spans="1:1" x14ac:dyDescent="0.3">
      <c r="A551" s="14" t="s">
        <v>766</v>
      </c>
    </row>
    <row r="552" spans="1:1" x14ac:dyDescent="0.3">
      <c r="A552" s="14" t="s">
        <v>767</v>
      </c>
    </row>
    <row r="553" spans="1:1" x14ac:dyDescent="0.3">
      <c r="A553" s="14" t="s">
        <v>768</v>
      </c>
    </row>
    <row r="554" spans="1:1" x14ac:dyDescent="0.3">
      <c r="A554" s="14" t="s">
        <v>769</v>
      </c>
    </row>
    <row r="555" spans="1:1" x14ac:dyDescent="0.3">
      <c r="A555" s="14" t="s">
        <v>770</v>
      </c>
    </row>
    <row r="556" spans="1:1" x14ac:dyDescent="0.3">
      <c r="A556" s="14" t="s">
        <v>771</v>
      </c>
    </row>
    <row r="557" spans="1:1" x14ac:dyDescent="0.3">
      <c r="A557" s="14" t="s">
        <v>772</v>
      </c>
    </row>
    <row r="558" spans="1:1" x14ac:dyDescent="0.3">
      <c r="A558" s="14" t="s">
        <v>773</v>
      </c>
    </row>
    <row r="559" spans="1:1" x14ac:dyDescent="0.3">
      <c r="A559" s="14" t="s">
        <v>774</v>
      </c>
    </row>
    <row r="560" spans="1:1" x14ac:dyDescent="0.3">
      <c r="A560" s="14" t="s">
        <v>775</v>
      </c>
    </row>
    <row r="561" spans="1:1" x14ac:dyDescent="0.3">
      <c r="A561" s="14" t="s">
        <v>776</v>
      </c>
    </row>
    <row r="562" spans="1:1" x14ac:dyDescent="0.3">
      <c r="A562" s="14" t="s">
        <v>777</v>
      </c>
    </row>
    <row r="563" spans="1:1" x14ac:dyDescent="0.3">
      <c r="A563" s="14" t="s">
        <v>778</v>
      </c>
    </row>
    <row r="564" spans="1:1" x14ac:dyDescent="0.3">
      <c r="A564" s="14" t="s">
        <v>779</v>
      </c>
    </row>
    <row r="565" spans="1:1" x14ac:dyDescent="0.3">
      <c r="A565" s="14" t="s">
        <v>780</v>
      </c>
    </row>
    <row r="566" spans="1:1" x14ac:dyDescent="0.3">
      <c r="A566" s="14" t="s">
        <v>781</v>
      </c>
    </row>
    <row r="567" spans="1:1" x14ac:dyDescent="0.3">
      <c r="A567" s="14" t="s">
        <v>782</v>
      </c>
    </row>
    <row r="568" spans="1:1" x14ac:dyDescent="0.3">
      <c r="A568" s="14" t="s">
        <v>783</v>
      </c>
    </row>
    <row r="569" spans="1:1" x14ac:dyDescent="0.3">
      <c r="A569" s="14" t="s">
        <v>784</v>
      </c>
    </row>
    <row r="570" spans="1:1" x14ac:dyDescent="0.3">
      <c r="A570" s="14" t="s">
        <v>785</v>
      </c>
    </row>
    <row r="571" spans="1:1" x14ac:dyDescent="0.3">
      <c r="A571" s="14" t="s">
        <v>786</v>
      </c>
    </row>
    <row r="572" spans="1:1" x14ac:dyDescent="0.3">
      <c r="A572" s="14" t="s">
        <v>787</v>
      </c>
    </row>
    <row r="573" spans="1:1" x14ac:dyDescent="0.3">
      <c r="A573" s="14" t="s">
        <v>788</v>
      </c>
    </row>
    <row r="574" spans="1:1" x14ac:dyDescent="0.3">
      <c r="A574" s="14" t="s">
        <v>789</v>
      </c>
    </row>
    <row r="575" spans="1:1" x14ac:dyDescent="0.3">
      <c r="A575" s="14" t="s">
        <v>790</v>
      </c>
    </row>
    <row r="576" spans="1:1" x14ac:dyDescent="0.3">
      <c r="A576" s="14" t="s">
        <v>791</v>
      </c>
    </row>
    <row r="577" spans="1:1" x14ac:dyDescent="0.3">
      <c r="A577" s="14" t="s">
        <v>792</v>
      </c>
    </row>
    <row r="578" spans="1:1" x14ac:dyDescent="0.3">
      <c r="A578" s="14" t="s">
        <v>793</v>
      </c>
    </row>
    <row r="579" spans="1:1" x14ac:dyDescent="0.3">
      <c r="A579" s="14" t="s">
        <v>794</v>
      </c>
    </row>
    <row r="580" spans="1:1" x14ac:dyDescent="0.3">
      <c r="A580" s="14" t="s">
        <v>795</v>
      </c>
    </row>
    <row r="581" spans="1:1" x14ac:dyDescent="0.3">
      <c r="A581" s="14" t="s">
        <v>796</v>
      </c>
    </row>
    <row r="582" spans="1:1" x14ac:dyDescent="0.3">
      <c r="A582" s="14" t="s">
        <v>797</v>
      </c>
    </row>
    <row r="583" spans="1:1" x14ac:dyDescent="0.3">
      <c r="A583" s="14" t="s">
        <v>798</v>
      </c>
    </row>
    <row r="584" spans="1:1" x14ac:dyDescent="0.3">
      <c r="A584" s="14" t="s">
        <v>799</v>
      </c>
    </row>
    <row r="585" spans="1:1" x14ac:dyDescent="0.3">
      <c r="A585" s="14" t="s">
        <v>800</v>
      </c>
    </row>
    <row r="586" spans="1:1" x14ac:dyDescent="0.3">
      <c r="A586" s="14" t="s">
        <v>801</v>
      </c>
    </row>
    <row r="587" spans="1:1" x14ac:dyDescent="0.3">
      <c r="A587" s="14" t="s">
        <v>802</v>
      </c>
    </row>
    <row r="588" spans="1:1" x14ac:dyDescent="0.3">
      <c r="A588" s="14" t="s">
        <v>803</v>
      </c>
    </row>
    <row r="589" spans="1:1" x14ac:dyDescent="0.3">
      <c r="A589" s="14" t="s">
        <v>804</v>
      </c>
    </row>
    <row r="590" spans="1:1" x14ac:dyDescent="0.3">
      <c r="A590" s="14" t="s">
        <v>805</v>
      </c>
    </row>
    <row r="591" spans="1:1" x14ac:dyDescent="0.3">
      <c r="A591" s="14" t="s">
        <v>806</v>
      </c>
    </row>
    <row r="592" spans="1:1" x14ac:dyDescent="0.3">
      <c r="A592" s="14" t="s">
        <v>807</v>
      </c>
    </row>
    <row r="593" spans="1:1" x14ac:dyDescent="0.3">
      <c r="A593" s="14" t="s">
        <v>808</v>
      </c>
    </row>
    <row r="594" spans="1:1" x14ac:dyDescent="0.3">
      <c r="A594" s="14" t="s">
        <v>809</v>
      </c>
    </row>
    <row r="595" spans="1:1" x14ac:dyDescent="0.3">
      <c r="A595" s="14" t="s">
        <v>810</v>
      </c>
    </row>
    <row r="596" spans="1:1" x14ac:dyDescent="0.3">
      <c r="A596" s="14" t="s">
        <v>811</v>
      </c>
    </row>
    <row r="597" spans="1:1" x14ac:dyDescent="0.3">
      <c r="A597" s="14" t="s">
        <v>812</v>
      </c>
    </row>
    <row r="598" spans="1:1" x14ac:dyDescent="0.3">
      <c r="A598" s="14" t="s">
        <v>813</v>
      </c>
    </row>
  </sheetData>
  <phoneticPr fontId="9" type="noConversion"/>
  <hyperlinks>
    <hyperlink ref="D3" r:id="rId1" xr:uid="{2FF87443-08BE-4640-953F-C9A130F90071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showGridLines="0" workbookViewId="0">
      <pane ySplit="6" topLeftCell="A7" activePane="bottomLeft" state="frozen"/>
      <selection pane="bottomLeft" activeCell="G20" sqref="G20"/>
    </sheetView>
  </sheetViews>
  <sheetFormatPr baseColWidth="10" defaultRowHeight="14.4" x14ac:dyDescent="0.3"/>
  <cols>
    <col min="1" max="1" width="18" customWidth="1"/>
    <col min="2" max="3" width="14" customWidth="1"/>
    <col min="4" max="4" width="22" customWidth="1"/>
    <col min="5" max="5" width="14" customWidth="1"/>
    <col min="6" max="6" width="16" customWidth="1"/>
    <col min="7" max="7" width="14" customWidth="1"/>
  </cols>
  <sheetData>
    <row r="1" spans="1:9" ht="21" x14ac:dyDescent="0.4">
      <c r="A1" s="10" t="s">
        <v>163</v>
      </c>
    </row>
    <row r="3" spans="1:9" x14ac:dyDescent="0.3">
      <c r="A3" s="7" t="s">
        <v>164</v>
      </c>
      <c r="C3" s="7" t="s">
        <v>165</v>
      </c>
      <c r="E3" s="7" t="s">
        <v>166</v>
      </c>
      <c r="G3" s="7" t="s">
        <v>167</v>
      </c>
    </row>
    <row r="4" spans="1:9" ht="18" x14ac:dyDescent="0.35">
      <c r="A4" s="36" t="e">
        <f ca="1">SUMIFS(#REF!,#REF!,"&gt;="&amp;EOMONTH(TODAY(),-1)+1,#REF!,"&lt;"&amp;EOMONTH(TODAY(),0)+1,#REF!,"PAGADO")</f>
        <v>#REF!</v>
      </c>
      <c r="C4" s="36" t="e">
        <f ca="1">SUMIFS(#REF!,#REF!,"&gt;="&amp;EOMONTH(TODAY(),-1)+1,#REF!,"&lt;"&amp;EOMONTH(TODAY(),0)+1,#REF!,"PAGADO")</f>
        <v>#REF!</v>
      </c>
      <c r="E4" s="36">
        <f ca="1">SUMIFS(tblGastos[MONTO],tblGastos[FECHA],"&gt;="&amp;EOMONTH(TODAY(),-1)+1,tblGastos[FECHA],"&lt;"&amp;EOMONTH(TODAY(),0)+1,tblGastos[ESTADO],"PAGADO")</f>
        <v>0</v>
      </c>
      <c r="G4" s="36" t="e">
        <f ca="1">A4+C4-E4+SUMIFS(tblIngresos[MONTO],tblIngresos[FECHA],"&gt;="&amp;EOMONTH(TODAY(),-1)+1,tblIngresos[FECHA],"&lt;"&amp;EOMONTH(TODAY(),0)+1,tblIngresos[ESTADO],"PAGADO")</f>
        <v>#REF!</v>
      </c>
    </row>
    <row r="6" spans="1:9" ht="28.8" x14ac:dyDescent="0.3">
      <c r="A6" s="12" t="s">
        <v>168</v>
      </c>
      <c r="B6" s="12" t="s">
        <v>169</v>
      </c>
      <c r="C6" s="12" t="s">
        <v>53</v>
      </c>
      <c r="D6" s="12" t="s">
        <v>170</v>
      </c>
      <c r="E6" s="12" t="s">
        <v>171</v>
      </c>
      <c r="F6" s="12" t="s">
        <v>172</v>
      </c>
      <c r="G6" s="12" t="s">
        <v>173</v>
      </c>
      <c r="H6" s="7" t="s">
        <v>174</v>
      </c>
    </row>
    <row r="7" spans="1:9" x14ac:dyDescent="0.3">
      <c r="A7" s="37">
        <f ca="1">EOMONTH(TODAY(),-11)+1</f>
        <v>45717</v>
      </c>
      <c r="B7" s="16" t="e">
        <f ca="1">SUMIFS(#REF!,#REF!,"&gt;="&amp;$A7,#REF!,"&lt;"&amp;EDATE($A7,1),#REF!,"PAGADO")</f>
        <v>#REF!</v>
      </c>
      <c r="C7" s="16" t="e">
        <f ca="1">SUMIFS(#REF!,#REF!,"&gt;="&amp;$A7,#REF!,"&lt;"&amp;EDATE($A7,1),#REF!,"PAGADO")</f>
        <v>#REF!</v>
      </c>
      <c r="D7" s="16" t="e">
        <f t="shared" ref="D7:D18" ca="1" si="0">B7-C7</f>
        <v>#REF!</v>
      </c>
      <c r="E7" s="16">
        <f ca="1">SUMIFS(tblGastos[MONTO],tblGastos[FECHA],"&gt;="&amp;$A7,tblGastos[FECHA],"&lt;"&amp;EDATE($A7,1),tblGastos[ESTADO],"PAGADO")</f>
        <v>0</v>
      </c>
      <c r="F7" s="16">
        <f ca="1">SUMIFS(tblIngresos[MONTO],tblIngresos[FECHA],"&gt;="&amp;$A7,tblIngresos[FECHA],"&lt;"&amp;EDATE($A7,1),tblIngresos[ESTADO],"PAGADO")</f>
        <v>0</v>
      </c>
      <c r="G7" s="16" t="e">
        <f t="shared" ref="G7:G18" ca="1" si="1">D7-E7+F7</f>
        <v>#REF!</v>
      </c>
      <c r="H7" s="38">
        <f ca="1">A7</f>
        <v>45717</v>
      </c>
      <c r="I7" t="s">
        <v>175</v>
      </c>
    </row>
    <row r="8" spans="1:9" x14ac:dyDescent="0.3">
      <c r="A8" s="37">
        <f ca="1">EOMONTH(TODAY(),-10)+1</f>
        <v>45748</v>
      </c>
      <c r="B8" s="16" t="e">
        <f ca="1">SUMIFS(#REF!,#REF!,"&gt;="&amp;$A8,#REF!,"&lt;"&amp;EDATE($A8,1),#REF!,"PAGADO")</f>
        <v>#REF!</v>
      </c>
      <c r="C8" s="16" t="e">
        <f ca="1">SUMIFS(#REF!,#REF!,"&gt;="&amp;$A8,#REF!,"&lt;"&amp;EDATE($A8,1),#REF!,"PAGADO")</f>
        <v>#REF!</v>
      </c>
      <c r="D8" s="16" t="e">
        <f t="shared" ca="1" si="0"/>
        <v>#REF!</v>
      </c>
      <c r="E8" s="16">
        <f ca="1">SUMIFS(tblGastos[MONTO],tblGastos[FECHA],"&gt;="&amp;$A8,tblGastos[FECHA],"&lt;"&amp;EDATE($A8,1),tblGastos[ESTADO],"PAGADO")</f>
        <v>0</v>
      </c>
      <c r="F8" s="16">
        <f ca="1">SUMIFS(tblIngresos[MONTO],tblIngresos[FECHA],"&gt;="&amp;$A8,tblIngresos[FECHA],"&lt;"&amp;EDATE($A8,1),tblIngresos[ESTADO],"PAGADO")</f>
        <v>0</v>
      </c>
      <c r="G8" s="16" t="e">
        <f t="shared" ca="1" si="1"/>
        <v>#REF!</v>
      </c>
      <c r="H8" s="38">
        <f ca="1">EDATE(A18,1)</f>
        <v>46082</v>
      </c>
      <c r="I8" t="s">
        <v>176</v>
      </c>
    </row>
    <row r="9" spans="1:9" x14ac:dyDescent="0.3">
      <c r="A9" s="37">
        <f ca="1">EOMONTH(TODAY(),-9)+1</f>
        <v>45778</v>
      </c>
      <c r="B9" s="16" t="e">
        <f ca="1">SUMIFS(#REF!,#REF!,"&gt;="&amp;$A9,#REF!,"&lt;"&amp;EDATE($A9,1),#REF!,"PAGADO")</f>
        <v>#REF!</v>
      </c>
      <c r="C9" s="16" t="e">
        <f ca="1">SUMIFS(#REF!,#REF!,"&gt;="&amp;$A9,#REF!,"&lt;"&amp;EDATE($A9,1),#REF!,"PAGADO")</f>
        <v>#REF!</v>
      </c>
      <c r="D9" s="16" t="e">
        <f t="shared" ca="1" si="0"/>
        <v>#REF!</v>
      </c>
      <c r="E9" s="16">
        <f ca="1">SUMIFS(tblGastos[MONTO],tblGastos[FECHA],"&gt;="&amp;$A9,tblGastos[FECHA],"&lt;"&amp;EDATE($A9,1),tblGastos[ESTADO],"PAGADO")</f>
        <v>0</v>
      </c>
      <c r="F9" s="16">
        <f ca="1">SUMIFS(tblIngresos[MONTO],tblIngresos[FECHA],"&gt;="&amp;$A9,tblIngresos[FECHA],"&lt;"&amp;EDATE($A9,1),tblIngresos[ESTADO],"PAGADO")</f>
        <v>0</v>
      </c>
      <c r="G9" s="16" t="e">
        <f t="shared" ca="1" si="1"/>
        <v>#REF!</v>
      </c>
    </row>
    <row r="10" spans="1:9" x14ac:dyDescent="0.3">
      <c r="A10" s="37">
        <f ca="1">EOMONTH(TODAY(),-8)+1</f>
        <v>45809</v>
      </c>
      <c r="B10" s="16" t="e">
        <f ca="1">SUMIFS(#REF!,#REF!,"&gt;="&amp;$A10,#REF!,"&lt;"&amp;EDATE($A10,1),#REF!,"PAGADO")</f>
        <v>#REF!</v>
      </c>
      <c r="C10" s="16" t="e">
        <f ca="1">SUMIFS(#REF!,#REF!,"&gt;="&amp;$A10,#REF!,"&lt;"&amp;EDATE($A10,1),#REF!,"PAGADO")</f>
        <v>#REF!</v>
      </c>
      <c r="D10" s="16" t="e">
        <f t="shared" ca="1" si="0"/>
        <v>#REF!</v>
      </c>
      <c r="E10" s="16">
        <f ca="1">SUMIFS(tblGastos[MONTO],tblGastos[FECHA],"&gt;="&amp;$A10,tblGastos[FECHA],"&lt;"&amp;EDATE($A10,1),tblGastos[ESTADO],"PAGADO")</f>
        <v>0</v>
      </c>
      <c r="F10" s="16">
        <f ca="1">SUMIFS(tblIngresos[MONTO],tblIngresos[FECHA],"&gt;="&amp;$A10,tblIngresos[FECHA],"&lt;"&amp;EDATE($A10,1),tblIngresos[ESTADO],"PAGADO")</f>
        <v>0</v>
      </c>
      <c r="G10" s="16" t="e">
        <f t="shared" ca="1" si="1"/>
        <v>#REF!</v>
      </c>
    </row>
    <row r="11" spans="1:9" x14ac:dyDescent="0.3">
      <c r="A11" s="37">
        <f ca="1">EOMONTH(TODAY(),-7)+1</f>
        <v>45839</v>
      </c>
      <c r="B11" s="16" t="e">
        <f ca="1">SUMIFS(#REF!,#REF!,"&gt;="&amp;$A11,#REF!,"&lt;"&amp;EDATE($A11,1),#REF!,"PAGADO")</f>
        <v>#REF!</v>
      </c>
      <c r="C11" s="16" t="e">
        <f ca="1">SUMIFS(#REF!,#REF!,"&gt;="&amp;$A11,#REF!,"&lt;"&amp;EDATE($A11,1),#REF!,"PAGADO")</f>
        <v>#REF!</v>
      </c>
      <c r="D11" s="16" t="e">
        <f t="shared" ca="1" si="0"/>
        <v>#REF!</v>
      </c>
      <c r="E11" s="16">
        <f ca="1">SUMIFS(tblGastos[MONTO],tblGastos[FECHA],"&gt;="&amp;$A11,tblGastos[FECHA],"&lt;"&amp;EDATE($A11,1),tblGastos[ESTADO],"PAGADO")</f>
        <v>0</v>
      </c>
      <c r="F11" s="16">
        <f ca="1">SUMIFS(tblIngresos[MONTO],tblIngresos[FECHA],"&gt;="&amp;$A11,tblIngresos[FECHA],"&lt;"&amp;EDATE($A11,1),tblIngresos[ESTADO],"PAGADO")</f>
        <v>0</v>
      </c>
      <c r="G11" s="16" t="e">
        <f t="shared" ca="1" si="1"/>
        <v>#REF!</v>
      </c>
    </row>
    <row r="12" spans="1:9" x14ac:dyDescent="0.3">
      <c r="A12" s="37">
        <f ca="1">EOMONTH(TODAY(),-6)+1</f>
        <v>45870</v>
      </c>
      <c r="B12" s="16" t="e">
        <f ca="1">SUMIFS(#REF!,#REF!,"&gt;="&amp;$A12,#REF!,"&lt;"&amp;EDATE($A12,1),#REF!,"PAGADO")</f>
        <v>#REF!</v>
      </c>
      <c r="C12" s="16" t="e">
        <f ca="1">SUMIFS(#REF!,#REF!,"&gt;="&amp;$A12,#REF!,"&lt;"&amp;EDATE($A12,1),#REF!,"PAGADO")</f>
        <v>#REF!</v>
      </c>
      <c r="D12" s="16" t="e">
        <f t="shared" ca="1" si="0"/>
        <v>#REF!</v>
      </c>
      <c r="E12" s="16">
        <f ca="1">SUMIFS(tblGastos[MONTO],tblGastos[FECHA],"&gt;="&amp;$A12,tblGastos[FECHA],"&lt;"&amp;EDATE($A12,1),tblGastos[ESTADO],"PAGADO")</f>
        <v>0</v>
      </c>
      <c r="F12" s="16">
        <f ca="1">SUMIFS(tblIngresos[MONTO],tblIngresos[FECHA],"&gt;="&amp;$A12,tblIngresos[FECHA],"&lt;"&amp;EDATE($A12,1),tblIngresos[ESTADO],"PAGADO")</f>
        <v>0</v>
      </c>
      <c r="G12" s="16" t="e">
        <f t="shared" ca="1" si="1"/>
        <v>#REF!</v>
      </c>
    </row>
    <row r="13" spans="1:9" x14ac:dyDescent="0.3">
      <c r="A13" s="37">
        <f ca="1">EOMONTH(TODAY(),-5)+1</f>
        <v>45901</v>
      </c>
      <c r="B13" s="16" t="e">
        <f ca="1">SUMIFS(#REF!,#REF!,"&gt;="&amp;$A13,#REF!,"&lt;"&amp;EDATE($A13,1),#REF!,"PAGADO")</f>
        <v>#REF!</v>
      </c>
      <c r="C13" s="16" t="e">
        <f ca="1">SUMIFS(#REF!,#REF!,"&gt;="&amp;$A13,#REF!,"&lt;"&amp;EDATE($A13,1),#REF!,"PAGADO")</f>
        <v>#REF!</v>
      </c>
      <c r="D13" s="16" t="e">
        <f t="shared" ca="1" si="0"/>
        <v>#REF!</v>
      </c>
      <c r="E13" s="16">
        <f ca="1">SUMIFS(tblGastos[MONTO],tblGastos[FECHA],"&gt;="&amp;$A13,tblGastos[FECHA],"&lt;"&amp;EDATE($A13,1),tblGastos[ESTADO],"PAGADO")</f>
        <v>0</v>
      </c>
      <c r="F13" s="16">
        <f ca="1">SUMIFS(tblIngresos[MONTO],tblIngresos[FECHA],"&gt;="&amp;$A13,tblIngresos[FECHA],"&lt;"&amp;EDATE($A13,1),tblIngresos[ESTADO],"PAGADO")</f>
        <v>0</v>
      </c>
      <c r="G13" s="16" t="e">
        <f t="shared" ca="1" si="1"/>
        <v>#REF!</v>
      </c>
    </row>
    <row r="14" spans="1:9" x14ac:dyDescent="0.3">
      <c r="A14" s="37">
        <f ca="1">EOMONTH(TODAY(),-4)+1</f>
        <v>45931</v>
      </c>
      <c r="B14" s="16" t="e">
        <f ca="1">SUMIFS(#REF!,#REF!,"&gt;="&amp;$A14,#REF!,"&lt;"&amp;EDATE($A14,1),#REF!,"PAGADO")</f>
        <v>#REF!</v>
      </c>
      <c r="C14" s="16" t="e">
        <f ca="1">SUMIFS(#REF!,#REF!,"&gt;="&amp;$A14,#REF!,"&lt;"&amp;EDATE($A14,1),#REF!,"PAGADO")</f>
        <v>#REF!</v>
      </c>
      <c r="D14" s="16" t="e">
        <f t="shared" ca="1" si="0"/>
        <v>#REF!</v>
      </c>
      <c r="E14" s="16">
        <f ca="1">SUMIFS(tblGastos[MONTO],tblGastos[FECHA],"&gt;="&amp;$A14,tblGastos[FECHA],"&lt;"&amp;EDATE($A14,1),tblGastos[ESTADO],"PAGADO")</f>
        <v>0</v>
      </c>
      <c r="F14" s="16">
        <f ca="1">SUMIFS(tblIngresos[MONTO],tblIngresos[FECHA],"&gt;="&amp;$A14,tblIngresos[FECHA],"&lt;"&amp;EDATE($A14,1),tblIngresos[ESTADO],"PAGADO")</f>
        <v>0</v>
      </c>
      <c r="G14" s="16" t="e">
        <f t="shared" ca="1" si="1"/>
        <v>#REF!</v>
      </c>
    </row>
    <row r="15" spans="1:9" x14ac:dyDescent="0.3">
      <c r="A15" s="37">
        <f ca="1">EOMONTH(TODAY(),-3)+1</f>
        <v>45962</v>
      </c>
      <c r="B15" s="16" t="e">
        <f ca="1">SUMIFS(#REF!,#REF!,"&gt;="&amp;$A15,#REF!,"&lt;"&amp;EDATE($A15,1),#REF!,"PAGADO")</f>
        <v>#REF!</v>
      </c>
      <c r="C15" s="16" t="e">
        <f ca="1">SUMIFS(#REF!,#REF!,"&gt;="&amp;$A15,#REF!,"&lt;"&amp;EDATE($A15,1),#REF!,"PAGADO")</f>
        <v>#REF!</v>
      </c>
      <c r="D15" s="16" t="e">
        <f t="shared" ca="1" si="0"/>
        <v>#REF!</v>
      </c>
      <c r="E15" s="16">
        <f ca="1">SUMIFS(tblGastos[MONTO],tblGastos[FECHA],"&gt;="&amp;$A15,tblGastos[FECHA],"&lt;"&amp;EDATE($A15,1),tblGastos[ESTADO],"PAGADO")</f>
        <v>0</v>
      </c>
      <c r="F15" s="16">
        <f ca="1">SUMIFS(tblIngresos[MONTO],tblIngresos[FECHA],"&gt;="&amp;$A15,tblIngresos[FECHA],"&lt;"&amp;EDATE($A15,1),tblIngresos[ESTADO],"PAGADO")</f>
        <v>0</v>
      </c>
      <c r="G15" s="16" t="e">
        <f t="shared" ca="1" si="1"/>
        <v>#REF!</v>
      </c>
    </row>
    <row r="16" spans="1:9" x14ac:dyDescent="0.3">
      <c r="A16" s="37">
        <f ca="1">EOMONTH(TODAY(),-2)+1</f>
        <v>45992</v>
      </c>
      <c r="B16" s="16" t="e">
        <f ca="1">SUMIFS(#REF!,#REF!,"&gt;="&amp;$A16,#REF!,"&lt;"&amp;EDATE($A16,1),#REF!,"PAGADO")</f>
        <v>#REF!</v>
      </c>
      <c r="C16" s="16" t="e">
        <f ca="1">SUMIFS(#REF!,#REF!,"&gt;="&amp;$A16,#REF!,"&lt;"&amp;EDATE($A16,1),#REF!,"PAGADO")</f>
        <v>#REF!</v>
      </c>
      <c r="D16" s="16" t="e">
        <f t="shared" ca="1" si="0"/>
        <v>#REF!</v>
      </c>
      <c r="E16" s="16">
        <f ca="1">SUMIFS(tblGastos[MONTO],tblGastos[FECHA],"&gt;="&amp;$A16,tblGastos[FECHA],"&lt;"&amp;EDATE($A16,1),tblGastos[ESTADO],"PAGADO")</f>
        <v>68307.759999999995</v>
      </c>
      <c r="F16" s="16">
        <f ca="1">SUMIFS(tblIngresos[MONTO],tblIngresos[FECHA],"&gt;="&amp;$A16,tblIngresos[FECHA],"&lt;"&amp;EDATE($A16,1),tblIngresos[ESTADO],"PAGADO")</f>
        <v>0</v>
      </c>
      <c r="G16" s="16" t="e">
        <f t="shared" ca="1" si="1"/>
        <v>#REF!</v>
      </c>
    </row>
    <row r="17" spans="1:7" x14ac:dyDescent="0.3">
      <c r="A17" s="37">
        <f ca="1">EOMONTH(TODAY(),-1)+1</f>
        <v>46023</v>
      </c>
      <c r="B17" s="16" t="e">
        <f ca="1">SUMIFS(#REF!,#REF!,"&gt;="&amp;$A17,#REF!,"&lt;"&amp;EDATE($A17,1),#REF!,"PAGADO")</f>
        <v>#REF!</v>
      </c>
      <c r="C17" s="16" t="e">
        <f ca="1">SUMIFS(#REF!,#REF!,"&gt;="&amp;$A17,#REF!,"&lt;"&amp;EDATE($A17,1),#REF!,"PAGADO")</f>
        <v>#REF!</v>
      </c>
      <c r="D17" s="16" t="e">
        <f t="shared" ca="1" si="0"/>
        <v>#REF!</v>
      </c>
      <c r="E17" s="16">
        <f ca="1">SUMIFS(tblGastos[MONTO],tblGastos[FECHA],"&gt;="&amp;$A17,tblGastos[FECHA],"&lt;"&amp;EDATE($A17,1),tblGastos[ESTADO],"PAGADO")</f>
        <v>0</v>
      </c>
      <c r="F17" s="16">
        <f ca="1">SUMIFS(tblIngresos[MONTO],tblIngresos[FECHA],"&gt;="&amp;$A17,tblIngresos[FECHA],"&lt;"&amp;EDATE($A17,1),tblIngresos[ESTADO],"PAGADO")</f>
        <v>0</v>
      </c>
      <c r="G17" s="16" t="e">
        <f t="shared" ca="1" si="1"/>
        <v>#REF!</v>
      </c>
    </row>
    <row r="18" spans="1:7" x14ac:dyDescent="0.3">
      <c r="A18" s="37">
        <f ca="1">EOMONTH(TODAY(),0)+1</f>
        <v>46054</v>
      </c>
      <c r="B18" s="16" t="e">
        <f ca="1">SUMIFS(#REF!,#REF!,"&gt;="&amp;$A18,#REF!,"&lt;"&amp;EDATE($A18,1),#REF!,"PAGADO")</f>
        <v>#REF!</v>
      </c>
      <c r="C18" s="16" t="e">
        <f ca="1">SUMIFS(#REF!,#REF!,"&gt;="&amp;$A18,#REF!,"&lt;"&amp;EDATE($A18,1),#REF!,"PAGADO")</f>
        <v>#REF!</v>
      </c>
      <c r="D18" s="16" t="e">
        <f t="shared" ca="1" si="0"/>
        <v>#REF!</v>
      </c>
      <c r="E18" s="16">
        <f ca="1">SUMIFS(tblGastos[MONTO],tblGastos[FECHA],"&gt;="&amp;$A18,tblGastos[FECHA],"&lt;"&amp;EDATE($A18,1),tblGastos[ESTADO],"PAGADO")</f>
        <v>0</v>
      </c>
      <c r="F18" s="16">
        <f ca="1">SUMIFS(tblIngresos[MONTO],tblIngresos[FECHA],"&gt;="&amp;$A18,tblIngresos[FECHA],"&lt;"&amp;EDATE($A18,1),tblIngresos[ESTADO],"PAGADO")</f>
        <v>0</v>
      </c>
      <c r="G18" s="16" t="e">
        <f t="shared" ca="1" si="1"/>
        <v>#REF!</v>
      </c>
    </row>
    <row r="20" spans="1:7" x14ac:dyDescent="0.3">
      <c r="A20" s="7" t="s">
        <v>177</v>
      </c>
      <c r="D20" s="7" t="s">
        <v>178</v>
      </c>
    </row>
    <row r="21" spans="1:7" x14ac:dyDescent="0.3">
      <c r="A21" s="12" t="s">
        <v>18</v>
      </c>
      <c r="B21" s="12" t="s">
        <v>169</v>
      </c>
      <c r="D21" s="12" t="s">
        <v>18</v>
      </c>
      <c r="E21" s="12" t="s">
        <v>171</v>
      </c>
    </row>
    <row r="22" spans="1:7" x14ac:dyDescent="0.3">
      <c r="A22" s="14" t="s">
        <v>76</v>
      </c>
      <c r="B22" s="16" t="e">
        <f ca="1">SUMIFS(#REF!,#REF!,$A22,#REF!,"&gt;="&amp;$H$7,#REF!,"&lt;"&amp;$H$8,#REF!,"PAGADO")</f>
        <v>#REF!</v>
      </c>
      <c r="D22" s="14" t="s">
        <v>179</v>
      </c>
      <c r="E22" s="16">
        <f ca="1">SUMIFS(tblGastos[MONTO],tblGastos[CATEGORIA_GASTO],$D22,tblGastos[FECHA],"&gt;="&amp;$H$7,tblGastos[FECHA],"&lt;"&amp;$H$8,tblGastos[ESTADO],"PAGADO")</f>
        <v>0</v>
      </c>
    </row>
    <row r="23" spans="1:7" x14ac:dyDescent="0.3">
      <c r="A23" s="14" t="s">
        <v>180</v>
      </c>
      <c r="B23" s="16" t="e">
        <f ca="1">SUMIFS(#REF!,#REF!,$A23,#REF!,"&gt;="&amp;$H$7,#REF!,"&lt;"&amp;$H$8,#REF!,"PAGADO")</f>
        <v>#REF!</v>
      </c>
      <c r="D23" s="14" t="s">
        <v>181</v>
      </c>
      <c r="E23" s="16">
        <f ca="1">SUMIFS(tblGastos[MONTO],tblGastos[CATEGORIA_GASTO],$D23,tblGastos[FECHA],"&gt;="&amp;$H$7,tblGastos[FECHA],"&lt;"&amp;$H$8,tblGastos[ESTADO],"PAGADO")</f>
        <v>0</v>
      </c>
    </row>
    <row r="24" spans="1:7" x14ac:dyDescent="0.3">
      <c r="A24" s="14" t="s">
        <v>182</v>
      </c>
      <c r="B24" s="16" t="e">
        <f ca="1">SUMIFS(#REF!,#REF!,$A24,#REF!,"&gt;="&amp;$H$7,#REF!,"&lt;"&amp;$H$8,#REF!,"PAGADO")</f>
        <v>#REF!</v>
      </c>
      <c r="D24" s="14" t="s">
        <v>183</v>
      </c>
      <c r="E24" s="16">
        <f ca="1">SUMIFS(tblGastos[MONTO],tblGastos[CATEGORIA_GASTO],$D24,tblGastos[FECHA],"&gt;="&amp;$H$7,tblGastos[FECHA],"&lt;"&amp;$H$8,tblGastos[ESTADO],"PAGADO")</f>
        <v>0</v>
      </c>
    </row>
    <row r="25" spans="1:7" x14ac:dyDescent="0.3">
      <c r="A25" s="14" t="s">
        <v>184</v>
      </c>
      <c r="B25" s="16" t="e">
        <f ca="1">SUMIFS(#REF!,#REF!,$A25,#REF!,"&gt;="&amp;$H$7,#REF!,"&lt;"&amp;$H$8,#REF!,"PAGADO")</f>
        <v>#REF!</v>
      </c>
      <c r="D25" s="14" t="s">
        <v>185</v>
      </c>
      <c r="E25" s="16">
        <f ca="1">SUMIFS(tblGastos[MONTO],tblGastos[CATEGORIA_GASTO],$D25,tblGastos[FECHA],"&gt;="&amp;$H$7,tblGastos[FECHA],"&lt;"&amp;$H$8,tblGastos[ESTADO],"PAGADO")</f>
        <v>0</v>
      </c>
    </row>
    <row r="26" spans="1:7" x14ac:dyDescent="0.3">
      <c r="A26" s="14" t="s">
        <v>129</v>
      </c>
      <c r="B26" s="16" t="e">
        <f ca="1">SUMIFS(#REF!,#REF!,$A26,#REF!,"&gt;="&amp;$H$7,#REF!,"&lt;"&amp;$H$8,#REF!,"PAGADO")</f>
        <v>#REF!</v>
      </c>
      <c r="D26" s="14" t="s">
        <v>186</v>
      </c>
      <c r="E26" s="16">
        <f ca="1">SUMIFS(tblGastos[MONTO],tblGastos[CATEGORIA_GASTO],$D26,tblGastos[FECHA],"&gt;="&amp;$H$7,tblGastos[FECHA],"&lt;"&amp;$H$8,tblGastos[ESTADO],"PAGADO")</f>
        <v>0</v>
      </c>
    </row>
    <row r="27" spans="1:7" x14ac:dyDescent="0.3">
      <c r="A27" s="14" t="s">
        <v>62</v>
      </c>
      <c r="B27" s="16" t="e">
        <f ca="1">SUMIFS(#REF!,#REF!,$A27,#REF!,"&gt;="&amp;$H$7,#REF!,"&lt;"&amp;$H$8,#REF!,"PAGADO")</f>
        <v>#REF!</v>
      </c>
      <c r="D27" s="14" t="s">
        <v>187</v>
      </c>
      <c r="E27" s="16">
        <f ca="1">SUMIFS(tblGastos[MONTO],tblGastos[CATEGORIA_GASTO],$D27,tblGastos[FECHA],"&gt;="&amp;$H$7,tblGastos[FECHA],"&lt;"&amp;$H$8,tblGastos[ESTADO],"PAGADO")</f>
        <v>0</v>
      </c>
    </row>
    <row r="28" spans="1:7" x14ac:dyDescent="0.3">
      <c r="D28" s="14" t="s">
        <v>188</v>
      </c>
      <c r="E28" s="16">
        <f ca="1">SUMIFS(tblGastos[MONTO],tblGastos[CATEGORIA_GASTO],$D28,tblGastos[FECHA],"&gt;="&amp;$H$7,tblGastos[FECHA],"&lt;"&amp;$H$8,tblGastos[ESTADO],"PAGADO")</f>
        <v>0</v>
      </c>
    </row>
    <row r="29" spans="1:7" x14ac:dyDescent="0.3">
      <c r="D29" s="14" t="s">
        <v>189</v>
      </c>
      <c r="E29" s="16">
        <f ca="1">SUMIFS(tblGastos[MONTO],tblGastos[CATEGORIA_GASTO],$D29,tblGastos[FECHA],"&gt;="&amp;$H$7,tblGastos[FECHA],"&lt;"&amp;$H$8,tblGastos[ESTADO],"PAGADO")</f>
        <v>0</v>
      </c>
    </row>
    <row r="30" spans="1:7" x14ac:dyDescent="0.3">
      <c r="D30" s="14" t="s">
        <v>190</v>
      </c>
      <c r="E30" s="16">
        <f ca="1">SUMIFS(tblGastos[MONTO],tblGastos[CATEGORIA_GASTO],$D30,tblGastos[FECHA],"&gt;="&amp;$H$7,tblGastos[FECHA],"&lt;"&amp;$H$8,tblGastos[ESTADO],"PAGADO")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"/>
  <sheetViews>
    <sheetView showGridLines="0" workbookViewId="0">
      <pane ySplit="1" topLeftCell="A2" activePane="bottomLeft" state="frozen"/>
      <selection pane="bottomLeft" activeCell="E4" sqref="E4"/>
    </sheetView>
  </sheetViews>
  <sheetFormatPr baseColWidth="10" defaultColWidth="8.88671875" defaultRowHeight="14.4" x14ac:dyDescent="0.3"/>
  <cols>
    <col min="1" max="1" width="22" customWidth="1"/>
    <col min="3" max="3" width="18" customWidth="1"/>
    <col min="5" max="5" width="16" customWidth="1"/>
    <col min="7" max="7" width="22" customWidth="1"/>
    <col min="9" max="9" width="22" customWidth="1"/>
    <col min="11" max="11" width="14" customWidth="1"/>
    <col min="13" max="13" width="22" customWidth="1"/>
  </cols>
  <sheetData>
    <row r="1" spans="1:13" x14ac:dyDescent="0.3">
      <c r="A1" s="12" t="s">
        <v>191</v>
      </c>
      <c r="C1" s="12" t="s">
        <v>192</v>
      </c>
      <c r="E1" s="12" t="s">
        <v>193</v>
      </c>
      <c r="G1" s="12" t="s">
        <v>194</v>
      </c>
      <c r="I1" s="12" t="s">
        <v>195</v>
      </c>
      <c r="K1" s="12" t="s">
        <v>29</v>
      </c>
      <c r="M1" s="12" t="s">
        <v>185</v>
      </c>
    </row>
    <row r="2" spans="1:13" x14ac:dyDescent="0.3">
      <c r="A2" t="s">
        <v>76</v>
      </c>
      <c r="C2" t="s">
        <v>34</v>
      </c>
      <c r="E2" t="s">
        <v>35</v>
      </c>
      <c r="G2" t="s">
        <v>213</v>
      </c>
      <c r="I2" t="s">
        <v>169</v>
      </c>
      <c r="K2" t="s">
        <v>36</v>
      </c>
      <c r="M2" t="s">
        <v>196</v>
      </c>
    </row>
    <row r="3" spans="1:13" x14ac:dyDescent="0.3">
      <c r="A3" t="s">
        <v>180</v>
      </c>
      <c r="C3" t="s">
        <v>42</v>
      </c>
      <c r="E3" t="s">
        <v>216</v>
      </c>
      <c r="G3" t="s">
        <v>181</v>
      </c>
      <c r="I3" t="s">
        <v>181</v>
      </c>
      <c r="K3" t="s">
        <v>197</v>
      </c>
      <c r="M3" t="s">
        <v>214</v>
      </c>
    </row>
    <row r="4" spans="1:13" x14ac:dyDescent="0.3">
      <c r="A4" t="s">
        <v>182</v>
      </c>
      <c r="C4" t="s">
        <v>198</v>
      </c>
      <c r="E4" t="s">
        <v>199</v>
      </c>
      <c r="G4" t="s">
        <v>183</v>
      </c>
      <c r="I4" t="s">
        <v>190</v>
      </c>
      <c r="K4" t="s">
        <v>200</v>
      </c>
    </row>
    <row r="5" spans="1:13" x14ac:dyDescent="0.3">
      <c r="A5" t="s">
        <v>184</v>
      </c>
      <c r="C5" t="s">
        <v>199</v>
      </c>
      <c r="G5" t="s">
        <v>185</v>
      </c>
    </row>
    <row r="6" spans="1:13" x14ac:dyDescent="0.3">
      <c r="A6" t="s">
        <v>129</v>
      </c>
      <c r="C6" t="s">
        <v>201</v>
      </c>
      <c r="G6" t="s">
        <v>186</v>
      </c>
    </row>
    <row r="7" spans="1:13" x14ac:dyDescent="0.3">
      <c r="A7" t="s">
        <v>62</v>
      </c>
      <c r="G7" t="s">
        <v>187</v>
      </c>
    </row>
    <row r="8" spans="1:13" x14ac:dyDescent="0.3">
      <c r="G8" t="s">
        <v>188</v>
      </c>
    </row>
    <row r="9" spans="1:13" x14ac:dyDescent="0.3">
      <c r="G9" t="s">
        <v>189</v>
      </c>
    </row>
    <row r="10" spans="1:13" x14ac:dyDescent="0.3">
      <c r="G10" t="s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orkbookViewId="0">
      <selection activeCell="B8" sqref="B8"/>
    </sheetView>
  </sheetViews>
  <sheetFormatPr baseColWidth="10" defaultRowHeight="14.4" x14ac:dyDescent="0.3"/>
  <cols>
    <col min="1" max="1" width="10.33203125" bestFit="1" customWidth="1"/>
    <col min="2" max="2" width="14.109375" bestFit="1" customWidth="1"/>
    <col min="3" max="3" width="11.44140625" bestFit="1" customWidth="1"/>
    <col min="4" max="4" width="14.44140625" bestFit="1" customWidth="1"/>
    <col min="5" max="5" width="26.109375" bestFit="1" customWidth="1"/>
    <col min="6" max="6" width="13.109375" bestFit="1" customWidth="1"/>
    <col min="7" max="7" width="11.77734375" bestFit="1" customWidth="1"/>
    <col min="9" max="9" width="16.6640625" bestFit="1" customWidth="1"/>
  </cols>
  <sheetData>
    <row r="1" spans="1:9" ht="19.8" customHeight="1" x14ac:dyDescent="0.3">
      <c r="A1" s="2" t="s">
        <v>13</v>
      </c>
      <c r="B1" s="2" t="s">
        <v>202</v>
      </c>
      <c r="C1" s="2" t="s">
        <v>154</v>
      </c>
      <c r="D1" s="2" t="s">
        <v>18</v>
      </c>
      <c r="E1" s="4" t="s">
        <v>17</v>
      </c>
      <c r="F1" s="2" t="s">
        <v>19</v>
      </c>
      <c r="G1" s="3" t="s">
        <v>203</v>
      </c>
      <c r="H1" s="2" t="s">
        <v>53</v>
      </c>
      <c r="I1" s="3" t="s">
        <v>204</v>
      </c>
    </row>
    <row r="2" spans="1:9" x14ac:dyDescent="0.3">
      <c r="A2" s="5">
        <v>46022</v>
      </c>
      <c r="B2" s="5" t="str">
        <f>Clientes!A2</f>
        <v>C001</v>
      </c>
      <c r="C2" t="s">
        <v>32</v>
      </c>
      <c r="D2" t="s">
        <v>205</v>
      </c>
      <c r="E2" t="s">
        <v>33</v>
      </c>
      <c r="F2">
        <v>1</v>
      </c>
      <c r="G2">
        <v>22580</v>
      </c>
      <c r="H2">
        <v>17600</v>
      </c>
      <c r="I2">
        <f>G2-H2</f>
        <v>4980</v>
      </c>
    </row>
    <row r="3" spans="1:9" x14ac:dyDescent="0.3">
      <c r="A3" s="5">
        <v>46022</v>
      </c>
      <c r="B3" t="s">
        <v>206</v>
      </c>
      <c r="C3" t="s">
        <v>207</v>
      </c>
      <c r="D3" t="s">
        <v>208</v>
      </c>
      <c r="E3" t="s">
        <v>37</v>
      </c>
      <c r="F3">
        <v>3</v>
      </c>
      <c r="G3">
        <v>3330</v>
      </c>
      <c r="H3">
        <v>1800</v>
      </c>
      <c r="I3">
        <f>G3-H3</f>
        <v>1530</v>
      </c>
    </row>
    <row r="4" spans="1:9" x14ac:dyDescent="0.3">
      <c r="A4" s="5">
        <v>46022</v>
      </c>
      <c r="B4" t="s">
        <v>209</v>
      </c>
      <c r="C4" t="s">
        <v>210</v>
      </c>
      <c r="D4" t="s">
        <v>211</v>
      </c>
      <c r="E4" t="s">
        <v>38</v>
      </c>
      <c r="F4">
        <v>1</v>
      </c>
      <c r="G4">
        <v>7200</v>
      </c>
      <c r="H4">
        <v>4894</v>
      </c>
      <c r="I4">
        <f>G4-H4</f>
        <v>2306</v>
      </c>
    </row>
  </sheetData>
  <autoFilter ref="A1:I5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5"/>
  <sheetViews>
    <sheetView workbookViewId="0">
      <selection activeCell="B11" sqref="B11"/>
    </sheetView>
  </sheetViews>
  <sheetFormatPr baseColWidth="10" defaultRowHeight="14.4" x14ac:dyDescent="0.3"/>
  <cols>
    <col min="1" max="1" width="17.5546875" bestFit="1" customWidth="1"/>
  </cols>
  <sheetData>
    <row r="1" spans="1:1" x14ac:dyDescent="0.3">
      <c r="A1" s="1" t="s">
        <v>191</v>
      </c>
    </row>
    <row r="2" spans="1:1" x14ac:dyDescent="0.3">
      <c r="A2" t="s">
        <v>76</v>
      </c>
    </row>
    <row r="3" spans="1:1" x14ac:dyDescent="0.3">
      <c r="A3" t="s">
        <v>129</v>
      </c>
    </row>
    <row r="4" spans="1:1" x14ac:dyDescent="0.3">
      <c r="A4" t="s">
        <v>182</v>
      </c>
    </row>
    <row r="5" spans="1:1" x14ac:dyDescent="0.3">
      <c r="A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Guia</vt:lpstr>
      <vt:lpstr>Dashboard</vt:lpstr>
      <vt:lpstr>Ventas</vt:lpstr>
      <vt:lpstr>Compras</vt:lpstr>
      <vt:lpstr>Gastos</vt:lpstr>
      <vt:lpstr>Ingresos</vt:lpstr>
      <vt:lpstr>Productos</vt:lpstr>
      <vt:lpstr>Clientes</vt:lpstr>
      <vt:lpstr>Resumen</vt:lpstr>
      <vt:lpstr>Listas</vt:lpstr>
      <vt:lpstr>Ventas_old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Tomás Amaya</dc:creator>
  <cp:lastModifiedBy>Santiago Tomás Amaya</cp:lastModifiedBy>
  <dcterms:created xsi:type="dcterms:W3CDTF">2025-12-31T03:31:45Z</dcterms:created>
  <dcterms:modified xsi:type="dcterms:W3CDTF">2026-01-06T04:15:15Z</dcterms:modified>
</cp:coreProperties>
</file>